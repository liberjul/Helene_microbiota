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l138\Duke Bio_Ea Dropbox\He Lab\Julian_Liber\Helene_sampling\metadata\"/>
    </mc:Choice>
  </mc:AlternateContent>
  <xr:revisionPtr revIDLastSave="0" documentId="8_{79868436-4A28-4181-A773-B04F1953C90E}" xr6:coauthVersionLast="47" xr6:coauthVersionMax="47" xr10:uidLastSave="{00000000-0000-0000-0000-000000000000}"/>
  <bookViews>
    <workbookView xWindow="-98" yWindow="-98" windowWidth="21795" windowHeight="13875" xr2:uid="{DE603072-2C59-4440-991A-D073B9664D4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C4" i="1" l="1" a="1"/>
  <c r="AC4" i="1" s="1"/>
  <c r="AC101" i="1" a="1"/>
  <c r="AC101" i="1" s="1"/>
  <c r="AC100" i="1" a="1"/>
  <c r="AC100" i="1" s="1"/>
  <c r="AC99" i="1" a="1"/>
  <c r="AC99" i="1" s="1"/>
  <c r="AC98" i="1" a="1"/>
  <c r="AC98" i="1" s="1"/>
  <c r="AC97" i="1" a="1"/>
  <c r="AC97" i="1" s="1"/>
  <c r="AC96" i="1" a="1"/>
  <c r="AC96" i="1" s="1"/>
  <c r="AC95" i="1" a="1"/>
  <c r="AC95" i="1" s="1"/>
  <c r="AC94" i="1" a="1"/>
  <c r="AC94" i="1" s="1"/>
  <c r="AC93" i="1" a="1"/>
  <c r="AC93" i="1" s="1"/>
  <c r="AC92" i="1" a="1"/>
  <c r="AC92" i="1" s="1"/>
  <c r="AC91" i="1" a="1"/>
  <c r="AC91" i="1" s="1"/>
  <c r="AC90" i="1" a="1"/>
  <c r="AC90" i="1" s="1"/>
  <c r="AC89" i="1" a="1"/>
  <c r="AC89" i="1" s="1"/>
  <c r="AC88" i="1" a="1"/>
  <c r="AC88" i="1" s="1"/>
  <c r="AC87" i="1" a="1"/>
  <c r="AC87" i="1" s="1"/>
  <c r="AC86" i="1" a="1"/>
  <c r="AC86" i="1" s="1"/>
  <c r="AC85" i="1" a="1"/>
  <c r="AC85" i="1" s="1"/>
  <c r="AC84" i="1" a="1"/>
  <c r="AC84" i="1" s="1"/>
  <c r="AC83" i="1" a="1"/>
  <c r="AC83" i="1" s="1"/>
  <c r="AC82" i="1" a="1"/>
  <c r="AC82" i="1" s="1"/>
  <c r="AC81" i="1" a="1"/>
  <c r="AC81" i="1" s="1"/>
  <c r="AC80" i="1" a="1"/>
  <c r="AC80" i="1" s="1"/>
  <c r="AC79" i="1" a="1"/>
  <c r="AC79" i="1" s="1"/>
  <c r="AC78" i="1" a="1"/>
  <c r="AC78" i="1" s="1"/>
  <c r="AC77" i="1" a="1"/>
  <c r="AC77" i="1" s="1"/>
  <c r="AC76" i="1" a="1"/>
  <c r="AC76" i="1" s="1"/>
  <c r="AC75" i="1" a="1"/>
  <c r="AC75" i="1" s="1"/>
  <c r="AC74" i="1" a="1"/>
  <c r="AC74" i="1" s="1"/>
  <c r="AC73" i="1" a="1"/>
  <c r="AC73" i="1" s="1"/>
  <c r="AC72" i="1" a="1"/>
  <c r="AC72" i="1" s="1"/>
  <c r="AC71" i="1"/>
  <c r="AC71" i="1" a="1"/>
  <c r="AC70" i="1" a="1"/>
  <c r="AC70" i="1" s="1"/>
  <c r="AC69" i="1" a="1"/>
  <c r="AC69" i="1" s="1"/>
  <c r="AC68" i="1" a="1"/>
  <c r="AC68" i="1" s="1"/>
  <c r="AC67" i="1" a="1"/>
  <c r="AC67" i="1" s="1"/>
  <c r="AC66" i="1" a="1"/>
  <c r="AC66" i="1" s="1"/>
  <c r="AC65" i="1" a="1"/>
  <c r="AC65" i="1" s="1"/>
  <c r="AC64" i="1" a="1"/>
  <c r="AC64" i="1" s="1"/>
  <c r="AC63" i="1" a="1"/>
  <c r="AC63" i="1" s="1"/>
  <c r="AC62" i="1" a="1"/>
  <c r="AC62" i="1" s="1"/>
  <c r="AC61" i="1" a="1"/>
  <c r="AC61" i="1" s="1"/>
  <c r="AC60" i="1" a="1"/>
  <c r="AC60" i="1" s="1"/>
  <c r="AC59" i="1" a="1"/>
  <c r="AC59" i="1" s="1"/>
  <c r="AC58" i="1" a="1"/>
  <c r="AC58" i="1" s="1"/>
  <c r="AC57" i="1" a="1"/>
  <c r="AC57" i="1" s="1"/>
  <c r="AC56" i="1" a="1"/>
  <c r="AC56" i="1" s="1"/>
  <c r="AC55" i="1" a="1"/>
  <c r="AC55" i="1" s="1"/>
  <c r="AC54" i="1" a="1"/>
  <c r="AC54" i="1" s="1"/>
  <c r="AC53" i="1" a="1"/>
  <c r="AC53" i="1" s="1"/>
  <c r="AC52" i="1" a="1"/>
  <c r="AC52" i="1" s="1"/>
  <c r="AC51" i="1" a="1"/>
  <c r="AC51" i="1" s="1"/>
  <c r="AC50" i="1" a="1"/>
  <c r="AC50" i="1" s="1"/>
  <c r="AC49" i="1" a="1"/>
  <c r="AC49" i="1" s="1"/>
  <c r="AC48" i="1" a="1"/>
  <c r="AC48" i="1" s="1"/>
  <c r="AC47" i="1" a="1"/>
  <c r="AC47" i="1" s="1"/>
  <c r="AC46" i="1" a="1"/>
  <c r="AC46" i="1" s="1"/>
  <c r="AC45" i="1" a="1"/>
  <c r="AC45" i="1" s="1"/>
  <c r="AC44" i="1" a="1"/>
  <c r="AC44" i="1" s="1"/>
  <c r="AC43" i="1" a="1"/>
  <c r="AC43" i="1" s="1"/>
  <c r="AC42" i="1" a="1"/>
  <c r="AC42" i="1" s="1"/>
  <c r="AC41" i="1" a="1"/>
  <c r="AC41" i="1" s="1"/>
  <c r="AC40" i="1" a="1"/>
  <c r="AC40" i="1" s="1"/>
  <c r="AC39" i="1" a="1"/>
  <c r="AC39" i="1" s="1"/>
  <c r="AC38" i="1" a="1"/>
  <c r="AC38" i="1" s="1"/>
  <c r="AC37" i="1" a="1"/>
  <c r="AC37" i="1" s="1"/>
  <c r="AC36" i="1" a="1"/>
  <c r="AC36" i="1" s="1"/>
  <c r="AC35" i="1" a="1"/>
  <c r="AC35" i="1" s="1"/>
  <c r="AC34" i="1" a="1"/>
  <c r="AC34" i="1" s="1"/>
  <c r="AC33" i="1" a="1"/>
  <c r="AC33" i="1" s="1"/>
  <c r="AC32" i="1" a="1"/>
  <c r="AC32" i="1" s="1"/>
  <c r="AC31" i="1" a="1"/>
  <c r="AC31" i="1" s="1"/>
  <c r="AC30" i="1" a="1"/>
  <c r="AC30" i="1" s="1"/>
  <c r="AC29" i="1"/>
  <c r="AC29" i="1" a="1"/>
  <c r="AC28" i="1" a="1"/>
  <c r="AC28" i="1" s="1"/>
  <c r="AC27" i="1" a="1"/>
  <c r="AC27" i="1" s="1"/>
  <c r="AC26" i="1" a="1"/>
  <c r="AC26" i="1" s="1"/>
  <c r="AC25" i="1" a="1"/>
  <c r="AC25" i="1" s="1"/>
  <c r="AC24" i="1" a="1"/>
  <c r="AC24" i="1" s="1"/>
  <c r="AC23" i="1" a="1"/>
  <c r="AC23" i="1" s="1"/>
  <c r="AC22" i="1" a="1"/>
  <c r="AC22" i="1" s="1"/>
  <c r="AC21" i="1" a="1"/>
  <c r="AC21" i="1" s="1"/>
  <c r="AC20" i="1" a="1"/>
  <c r="AC20" i="1" s="1"/>
  <c r="AC19" i="1" a="1"/>
  <c r="AC19" i="1" s="1"/>
  <c r="AC18" i="1" a="1"/>
  <c r="AC18" i="1" s="1"/>
  <c r="AC17" i="1" a="1"/>
  <c r="AC17" i="1" s="1"/>
  <c r="AC16" i="1" a="1"/>
  <c r="AC16" i="1" s="1"/>
  <c r="AC15" i="1" a="1"/>
  <c r="AC15" i="1" s="1"/>
  <c r="AC14" i="1" a="1"/>
  <c r="AC14" i="1" s="1"/>
  <c r="AC13" i="1" a="1"/>
  <c r="AC13" i="1" s="1"/>
  <c r="AC12" i="1" a="1"/>
  <c r="AC12" i="1" s="1"/>
  <c r="AC11" i="1" a="1"/>
  <c r="AC11" i="1" s="1"/>
  <c r="AC10" i="1" a="1"/>
  <c r="AC10" i="1" s="1"/>
  <c r="AC9" i="1" a="1"/>
  <c r="AC9" i="1" s="1"/>
  <c r="AC8" i="1" a="1"/>
  <c r="AC8" i="1" s="1"/>
  <c r="AC7" i="1" a="1"/>
  <c r="AC7" i="1" s="1"/>
  <c r="AC6" i="1" a="1"/>
  <c r="AC6" i="1" s="1"/>
  <c r="AC5" i="1" a="1"/>
  <c r="AC5" i="1" s="1"/>
  <c r="AC3" i="1" a="1"/>
  <c r="AC3" i="1" s="1"/>
  <c r="AC2" i="1" a="1"/>
  <c r="AC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<sst xmlns="http://schemas.openxmlformats.org/spreadsheetml/2006/main" count="959" uniqueCount="329">
  <si>
    <t>Timestamp</t>
  </si>
  <si>
    <t>Sample prefix</t>
  </si>
  <si>
    <t>Sample number</t>
  </si>
  <si>
    <t>Sample_name_desc</t>
  </si>
  <si>
    <t>Collector</t>
  </si>
  <si>
    <t>Broad-scope substrate</t>
  </si>
  <si>
    <t>Lat-Long</t>
  </si>
  <si>
    <t>Sample description</t>
  </si>
  <si>
    <t xml:space="preserve">Item (sink, toilet, P-trap, etc.) </t>
  </si>
  <si>
    <t>Volume</t>
  </si>
  <si>
    <t>Column 9</t>
  </si>
  <si>
    <t>Flow rate (LPM)</t>
  </si>
  <si>
    <t>Sampling time (min)</t>
  </si>
  <si>
    <t>Plant species</t>
  </si>
  <si>
    <t>Sampling method</t>
  </si>
  <si>
    <t>Organs sampled</t>
  </si>
  <si>
    <t>Site description</t>
  </si>
  <si>
    <t>Sampling area (cm^2)</t>
  </si>
  <si>
    <t>Substrate description</t>
  </si>
  <si>
    <t xml:space="preserve">Substrate description </t>
  </si>
  <si>
    <t>Depth minimum (cm)</t>
  </si>
  <si>
    <t>Depth maximum (cm)</t>
  </si>
  <si>
    <t>Vegetation</t>
  </si>
  <si>
    <t>Material</t>
  </si>
  <si>
    <t>NC25</t>
  </si>
  <si>
    <t>GLF_DOWNSTRM_GRASS-1</t>
  </si>
  <si>
    <t>Julian Liber</t>
  </si>
  <si>
    <t>Plant</t>
  </si>
  <si>
    <t>35.6232978, -82.3304456</t>
  </si>
  <si>
    <t>Turf grass</t>
  </si>
  <si>
    <t>Material in tube</t>
  </si>
  <si>
    <t>Leaves</t>
  </si>
  <si>
    <t>Lawn, 3m from creek, South of building</t>
  </si>
  <si>
    <t>PW_RIVERPROX_HERB-1</t>
  </si>
  <si>
    <t>35°36′44″ N  82°19′16″ W</t>
  </si>
  <si>
    <t xml:space="preserve">Hairy bitter cress </t>
  </si>
  <si>
    <t>Near building public works, near river</t>
  </si>
  <si>
    <t>VP_FLOOD_SHRUB-1</t>
  </si>
  <si>
    <t>35.6074252, -82.3381415</t>
  </si>
  <si>
    <t xml:space="preserve">Lonicera sp </t>
  </si>
  <si>
    <t>Fence, likely flooded</t>
  </si>
  <si>
    <t>PW_HILLSIDE_HERB-1</t>
  </si>
  <si>
    <t>35°36′48″ N  82°19′15″ W</t>
  </si>
  <si>
    <t>White clover</t>
  </si>
  <si>
    <t xml:space="preserve">Side of public works </t>
  </si>
  <si>
    <t>GLF_DWNSTRM_RIVERDIST_3M_HERB-1</t>
  </si>
  <si>
    <t>Glechoma hederacea</t>
  </si>
  <si>
    <t xml:space="preserve">Lawn, 3m from creek, south of building </t>
  </si>
  <si>
    <t>VP_FLOOD_HERB-1</t>
  </si>
  <si>
    <t>English ivy</t>
  </si>
  <si>
    <t>On ground, flooded</t>
  </si>
  <si>
    <t>GLF_RIVERDIST_45M_HERB-1</t>
  </si>
  <si>
    <t>35.6236532, -82.3301469</t>
  </si>
  <si>
    <t xml:space="preserve">White clover </t>
  </si>
  <si>
    <t>Lawn, 45m from creek, low area with sediment</t>
  </si>
  <si>
    <t>GLF_RIVERDIST_45M_GRASS-1</t>
  </si>
  <si>
    <t xml:space="preserve">Lawn, 45m from creek, low area with sediment </t>
  </si>
  <si>
    <t>GLF_UPSTRM_RIVERDIST_4M_GRASS-1</t>
  </si>
  <si>
    <t>35.6237870, -82.3307132</t>
  </si>
  <si>
    <t xml:space="preserve">Leaves </t>
  </si>
  <si>
    <t>~4 m from creek, North of the building</t>
  </si>
  <si>
    <t>VP_DRY_HERB-1</t>
  </si>
  <si>
    <t xml:space="preserve">On tree, 6ft off ground </t>
  </si>
  <si>
    <t>GLF_UPSTRM_RIVERDIST_HERB-1</t>
  </si>
  <si>
    <t>35.6238576, -82.3304302</t>
  </si>
  <si>
    <t>Lawn, 15m from creek</t>
  </si>
  <si>
    <t>VP_DWNSTRM_HERB-1</t>
  </si>
  <si>
    <t>35.6078927, -82.3382391</t>
  </si>
  <si>
    <t>Hairy bittercress</t>
  </si>
  <si>
    <t xml:space="preserve">Flooded, next to ditch, adjacent to parking lot and baseball fields </t>
  </si>
  <si>
    <t>GLF_RIVERDIST_85M_GRASS-1</t>
  </si>
  <si>
    <t>35.6239652, -82.3298471</t>
  </si>
  <si>
    <t xml:space="preserve">Lawn, 80m from creek </t>
  </si>
  <si>
    <t>PW_ENTRANCE_HERB-1</t>
  </si>
  <si>
    <t>35°36′47″ N  82°19′14″ W</t>
  </si>
  <si>
    <t>Dandelion</t>
  </si>
  <si>
    <t>Front entrance public works</t>
  </si>
  <si>
    <t>GLF_UPSTRM_RIVERDIST_GRASS-1</t>
  </si>
  <si>
    <t xml:space="preserve">Turf grass </t>
  </si>
  <si>
    <t>Lawn, 15m from creek, North of building</t>
  </si>
  <si>
    <t>GLF_RIVERDIST_85M_HERB-1</t>
  </si>
  <si>
    <t>medicago</t>
  </si>
  <si>
    <t>Lawn, 80m from creek</t>
  </si>
  <si>
    <t>PW_DRYWALL_INNER-1</t>
  </si>
  <si>
    <t>Vesper Fraunfelter</t>
  </si>
  <si>
    <t>Built surface</t>
  </si>
  <si>
    <t>35°36′46.8″N, 82°19′13″W</t>
  </si>
  <si>
    <t>Swab</t>
  </si>
  <si>
    <t>Dry wall (inner)</t>
  </si>
  <si>
    <t>Drywall</t>
  </si>
  <si>
    <t>PW_DRYWALL_ADHESIVE-1</t>
  </si>
  <si>
    <t>Drywall-insulation adhesive</t>
  </si>
  <si>
    <t>PW_CONCRETE_FLOOD-1</t>
  </si>
  <si>
    <t>Concrete (ground)</t>
  </si>
  <si>
    <t>Concrete</t>
  </si>
  <si>
    <t>PW_METAL_FLOOD-1</t>
  </si>
  <si>
    <t>Metal (flooded)</t>
  </si>
  <si>
    <t>Metal</t>
  </si>
  <si>
    <t>PW_PLASTIC_FLOOD-1</t>
  </si>
  <si>
    <t>35°36′47″N, 82°19′14.4″W</t>
  </si>
  <si>
    <t>Dust on plastic bin</t>
  </si>
  <si>
    <t>Plastic</t>
  </si>
  <si>
    <t>PW_METAL_FLOOD-2</t>
  </si>
  <si>
    <t>35°36′48.8″N, 82°19′15.3″W</t>
  </si>
  <si>
    <t>Metal studs with coloration</t>
  </si>
  <si>
    <t>PW_CONCRETE_FLOOD-2</t>
  </si>
  <si>
    <t>35°36′48.1″N, 82°19′15.1″W</t>
  </si>
  <si>
    <t>Small</t>
  </si>
  <si>
    <t>Concrete between metal walls</t>
  </si>
  <si>
    <t>PW_WOOD_CLEANED-1</t>
  </si>
  <si>
    <t>35°36′47.2″N, 82°19′15.4″W</t>
  </si>
  <si>
    <t>Coloration on cleaned wood</t>
  </si>
  <si>
    <t>Wood</t>
  </si>
  <si>
    <t>PW_PORCEL_SINK-1</t>
  </si>
  <si>
    <t>Andrew Jones</t>
  </si>
  <si>
    <t>35°36′49″ N  82°19′12″ W</t>
  </si>
  <si>
    <t>Men’s restroom sink right</t>
  </si>
  <si>
    <t>Ceramic</t>
  </si>
  <si>
    <t>PW_PVC_DRAIN_OUTER-1</t>
  </si>
  <si>
    <t>35°36′47.7″N, 82°19′12.8″W</t>
  </si>
  <si>
    <t>PVC toilet drain (outer)</t>
  </si>
  <si>
    <t>PW_WOOD_SINK-1</t>
  </si>
  <si>
    <t>Bathroom sink frame (wood)</t>
  </si>
  <si>
    <t>PW_PLASTIC_FLOOD-2</t>
  </si>
  <si>
    <t>35°36′47.2″N, 82°19′13.2″W</t>
  </si>
  <si>
    <t>Mop basin (plastic?)</t>
  </si>
  <si>
    <t>PW_BATHROOM-1</t>
  </si>
  <si>
    <t>Women’s restroom right</t>
  </si>
  <si>
    <t>Unknown</t>
  </si>
  <si>
    <t>PW_BATHROOM-2</t>
  </si>
  <si>
    <t>Women’s restroom left</t>
  </si>
  <si>
    <t>PW_WOOD_DRY-1</t>
  </si>
  <si>
    <t>Unflooded wood stud</t>
  </si>
  <si>
    <t>PW_DRYWALL_DRY-1</t>
  </si>
  <si>
    <t>Unflooded drywall</t>
  </si>
  <si>
    <t>PW_PVC_WATERLINE-1</t>
  </si>
  <si>
    <t>35°36′48″ N  82°19′14″ W</t>
  </si>
  <si>
    <t>PVC water line with caked on mud</t>
  </si>
  <si>
    <t>PW_KTCH_DRAIN_INNER-1</t>
  </si>
  <si>
    <t>35°36′47″ N  82°19′12″ W</t>
  </si>
  <si>
    <t xml:space="preserve">Kitchen inner drain </t>
  </si>
  <si>
    <t>PW_KTCH_DRAIN_EXT-1</t>
  </si>
  <si>
    <t xml:space="preserve">Kitchen sink exterior </t>
  </si>
  <si>
    <t>PW_DOOR-1</t>
  </si>
  <si>
    <t>Rockey</t>
  </si>
  <si>
    <t xml:space="preserve">Removed door </t>
  </si>
  <si>
    <t>PW_WALL_DRY-1</t>
  </si>
  <si>
    <t>Stair wall</t>
  </si>
  <si>
    <t>PW_GLASS_INT-1</t>
  </si>
  <si>
    <t>35°37′26″ N  82°19′47″ W</t>
  </si>
  <si>
    <t>Interior glass</t>
  </si>
  <si>
    <t>Glass</t>
  </si>
  <si>
    <t>PW_GLASS_STORED-1</t>
  </si>
  <si>
    <t xml:space="preserve">Stored glass </t>
  </si>
  <si>
    <t>PW_CEILINGTILE-1</t>
  </si>
  <si>
    <t>Ceiling tile top (fiberglass product)</t>
  </si>
  <si>
    <t>Fiberglass</t>
  </si>
  <si>
    <t>PW_CINDERBLOCK_FLOOD-1</t>
  </si>
  <si>
    <t>Cinderblock (flooded)</t>
  </si>
  <si>
    <t>PW_METAL_DRAIN_FLOOD-1</t>
  </si>
  <si>
    <t>35°36′46.5″N, 82°19′15.4″W</t>
  </si>
  <si>
    <t>Metal lid to drain pipe; inside of lid. Wet.</t>
  </si>
  <si>
    <t>GLF_PTRAP-1</t>
  </si>
  <si>
    <t>35°37′25″ N  82°19′47″ W</t>
  </si>
  <si>
    <t>Inside ptrap</t>
  </si>
  <si>
    <t>GLF_DOOR_INT-1</t>
  </si>
  <si>
    <t xml:space="preserve">Rockey </t>
  </si>
  <si>
    <t>Interior door</t>
  </si>
  <si>
    <t>GLF_MOLD-1</t>
  </si>
  <si>
    <t>Erica Washington</t>
  </si>
  <si>
    <t>35°37′25″ N  82°19′49″ W</t>
  </si>
  <si>
    <t>Black mold</t>
  </si>
  <si>
    <t>GLF_DOOR_INT-2</t>
  </si>
  <si>
    <t>Inside door near unit golf course</t>
  </si>
  <si>
    <t>GLF_MOLD-2</t>
  </si>
  <si>
    <t>Pink fungus on door inside golf course near unit, below flood libr</t>
  </si>
  <si>
    <t>GLF_MOLD-3</t>
  </si>
  <si>
    <t>Fuzzy mold whitish low on wall</t>
  </si>
  <si>
    <t>GLF_MOLD-4</t>
  </si>
  <si>
    <t>One spot</t>
  </si>
  <si>
    <t>Yellow mold</t>
  </si>
  <si>
    <t>GLF_WOOD_MOLDY-1</t>
  </si>
  <si>
    <t>35.6236240, -82.3302575</t>
  </si>
  <si>
    <t>Wood wall with fuzzy white growth</t>
  </si>
  <si>
    <t>GLF_MOLD-5</t>
  </si>
  <si>
    <t>Pink fungus door inside door in golf unit</t>
  </si>
  <si>
    <t>GLF_WOOD_MOLDY-2</t>
  </si>
  <si>
    <t>Wood wall, multicolored growth (directly above sample NC25-120)</t>
  </si>
  <si>
    <t>GLF_WOOD_MOLDY-3</t>
  </si>
  <si>
    <t>Wood wall with large green splotches</t>
  </si>
  <si>
    <t>GLF_WOOD_MOLDY-4</t>
  </si>
  <si>
    <t>Wood wall, multicolored growth by front door</t>
  </si>
  <si>
    <t>GLF_WOOD_MOLDY-5</t>
  </si>
  <si>
    <t xml:space="preserve">Wood wall, multicolor growth </t>
  </si>
  <si>
    <t>GLF_METAL_MUDDY-1</t>
  </si>
  <si>
    <t>Sheet metal wall below flood line, covered with chunks of dirt</t>
  </si>
  <si>
    <t>GLF_WOOD_MOLDY-6</t>
  </si>
  <si>
    <t>Wood(?) panel by front door, multicolored growth more intense than surrounding wall</t>
  </si>
  <si>
    <t>GLF_METAL_DRY-1</t>
  </si>
  <si>
    <t>Steel beam</t>
  </si>
  <si>
    <t>GLF_WOOD_OILY_MOLDY-1</t>
  </si>
  <si>
    <t>Wood wall with suspected oil/grease patch, white growth</t>
  </si>
  <si>
    <t>GLF_METAL_EXT-1</t>
  </si>
  <si>
    <t>Sheet metal wall with green growth, outside of building</t>
  </si>
  <si>
    <t>GLF_CLOTH_MOLDY-1</t>
  </si>
  <si>
    <t>Cloth wall covering insulation, multicolored growth</t>
  </si>
  <si>
    <t>Cloth</t>
  </si>
  <si>
    <t>VP_SINK_DRAIN_INT-1</t>
  </si>
  <si>
    <t>35°36′29″ N  82°20′13″ W</t>
  </si>
  <si>
    <t>Interior sink drain</t>
  </si>
  <si>
    <t>VP_WOOD_MOLDY-1</t>
  </si>
  <si>
    <t>35.6081050, -82.3381995</t>
  </si>
  <si>
    <t>Plywood wall, dark green spots</t>
  </si>
  <si>
    <t>VP_WOOD_FLOOD-1</t>
  </si>
  <si>
    <t>35.6084815, -82.3371505</t>
  </si>
  <si>
    <t>Flooded wood beam</t>
  </si>
  <si>
    <t>VP_PAPER_MUDDY-1</t>
  </si>
  <si>
    <t>Cardboard box in cabinet, dry, layer of dust/mud.</t>
  </si>
  <si>
    <t>Paper</t>
  </si>
  <si>
    <t>VP_PVC_FLOOD-1</t>
  </si>
  <si>
    <t>PVC pipe, outer</t>
  </si>
  <si>
    <t>VP_METAL_DRY-1</t>
  </si>
  <si>
    <t>Second floor concession stand vertical beam</t>
  </si>
  <si>
    <t>VP_CINDERBLOCK_DRY-1</t>
  </si>
  <si>
    <t>Cinderblock wall inside concession stand, 8ft above ground, inside, possible mold</t>
  </si>
  <si>
    <t>VP_MUD_OUTSIDE-1</t>
  </si>
  <si>
    <t>Indoor mud</t>
  </si>
  <si>
    <t>35°36′31″ N  82°20′14″ W</t>
  </si>
  <si>
    <t xml:space="preserve">Mud outside concession </t>
  </si>
  <si>
    <t>Soil</t>
  </si>
  <si>
    <t>VP_MUD_TOLIET-1</t>
  </si>
  <si>
    <t xml:space="preserve">Indoor mud </t>
  </si>
  <si>
    <t>Mud inside toilet concession stand</t>
  </si>
  <si>
    <t>VP_MUD_PLAYGROUND-1</t>
  </si>
  <si>
    <t>35°36′28″ N  82°20′20″ W</t>
  </si>
  <si>
    <t xml:space="preserve">Mud inside Playground </t>
  </si>
  <si>
    <t>None</t>
  </si>
  <si>
    <t>VP_MUD_PLAYGROUND-2</t>
  </si>
  <si>
    <t>Playground mud</t>
  </si>
  <si>
    <t>No</t>
  </si>
  <si>
    <t>GLF_DWNSTRM_16M_RIVERDIST_2M_0CM</t>
  </si>
  <si>
    <t>35.6231907, -82.3303913</t>
  </si>
  <si>
    <t xml:space="preserve">Lawn, 2 m from creek, vegetation, next to sediment </t>
  </si>
  <si>
    <t xml:space="preserve">Turf, clover </t>
  </si>
  <si>
    <t>GLF_DWNSTRM_16M_RIVERDIST_2M_2CM</t>
  </si>
  <si>
    <t>GLF_DWNSTRM_16M_RIVERDIST_2M_10CM</t>
  </si>
  <si>
    <t>GLF_DWNSTRM_0M_RIVERDIST_58M_2CM</t>
  </si>
  <si>
    <t>35.6235801, -82.3299464</t>
  </si>
  <si>
    <t>Lawn, 58m from creek, 6m from end of culvert</t>
  </si>
  <si>
    <t xml:space="preserve">Turf, clover, chickweed </t>
  </si>
  <si>
    <t>GLF_UPSTRM_10M_RIVERDIST_58M_2CM</t>
  </si>
  <si>
    <t>35.6238717, -82.3301308</t>
  </si>
  <si>
    <t>Lawn, near road, 190ft from creek</t>
  </si>
  <si>
    <t>Turf, clover</t>
  </si>
  <si>
    <t>GLF_UPSTRM_10M_RIVERDIST_58M_0CM</t>
  </si>
  <si>
    <t>Lawn, 190ft from creek, next to road</t>
  </si>
  <si>
    <t>GLF_UPSTRM_10M_RIVERDIST_58M_6CM</t>
  </si>
  <si>
    <t>Lawn, next to road, 190ft to creek</t>
  </si>
  <si>
    <t>GLF_MUD_INDOOR-1</t>
  </si>
  <si>
    <t>Mud indoor</t>
  </si>
  <si>
    <t>Indoor mud golf</t>
  </si>
  <si>
    <t>GLF_MUD_INDOOR-2</t>
  </si>
  <si>
    <t>GLF_DWNSTRM_0M_RIVERDIST_58M_0CM</t>
  </si>
  <si>
    <t>Turf, clover, chickweed</t>
  </si>
  <si>
    <t>GLF_DWNSTRM_0M_RIVERDIST_58M_6CM</t>
  </si>
  <si>
    <t>Lawn, 58m from creek, 6m up from end of culvert</t>
  </si>
  <si>
    <t>GLF_AIR_BREAKROOM-1</t>
  </si>
  <si>
    <t>Air sample</t>
  </si>
  <si>
    <t>Break room</t>
  </si>
  <si>
    <t xml:space="preserve">High flow </t>
  </si>
  <si>
    <t>Air</t>
  </si>
  <si>
    <t>PW_DWNSTRM_25M_RIVERDIST_40M_CYPRESS_DRY-1</t>
  </si>
  <si>
    <t>Dry sample</t>
  </si>
  <si>
    <t>35°36′48″ N  82°19′19″ W</t>
  </si>
  <si>
    <t>Leaves hedge above flood line</t>
  </si>
  <si>
    <t>PW_PLASTIC_DOCS-1</t>
  </si>
  <si>
    <t>Documents</t>
  </si>
  <si>
    <t>35.61309,-82.32053</t>
  </si>
  <si>
    <t>Plastic on file folder, covered in sediment, moist since the flood</t>
  </si>
  <si>
    <t>PW_DWNSTRM_25M_RIVERDIST_40M_CYPRESS_FLOOD-1</t>
  </si>
  <si>
    <t>35.61309,-82.32257</t>
  </si>
  <si>
    <t>Cypress</t>
  </si>
  <si>
    <t>Hedge along fence, below flood line</t>
  </si>
  <si>
    <t>PW_UPSTRM_0M_RIVERDIST_10M_2CM</t>
  </si>
  <si>
    <t>35.61209,-82.32111</t>
  </si>
  <si>
    <t>River side of building, soft sediment on top</t>
  </si>
  <si>
    <t>Grasses and speedwell</t>
  </si>
  <si>
    <t>PW_DWNSTRM_36M_RIVERDIST_57M_BARK_DRY-1</t>
  </si>
  <si>
    <t>35.61314,-82.32259</t>
  </si>
  <si>
    <t>Silver maple</t>
  </si>
  <si>
    <t>Bark</t>
  </si>
  <si>
    <t>Tree in grassy field next to road, above flood line</t>
  </si>
  <si>
    <t>PW_UPSTRM_0M_RIVERDIST_10M_12CM</t>
  </si>
  <si>
    <t>35.6122,-82.32121</t>
  </si>
  <si>
    <t xml:space="preserve">River side of building, soft sediment above, bottom of core </t>
  </si>
  <si>
    <t>Grasses, speedwell</t>
  </si>
  <si>
    <t>PW_DWNSTRM_36M_RIVERDIST_57M_BARK_FLOOD-1</t>
  </si>
  <si>
    <t xml:space="preserve">Silver maple </t>
  </si>
  <si>
    <t>Tree in grassy field next to road, below flood line</t>
  </si>
  <si>
    <t>PW_PAPER_DOCS-1</t>
  </si>
  <si>
    <t>Wet papers and file folders in office, moist since the flood</t>
  </si>
  <si>
    <t>GLF_INSULATION-1</t>
  </si>
  <si>
    <t>Insulation</t>
  </si>
  <si>
    <t>PW_AIR_ATTIC-1</t>
  </si>
  <si>
    <t xml:space="preserve">Upstairs attic </t>
  </si>
  <si>
    <t>PW_PAPER_DOCS-2</t>
  </si>
  <si>
    <t>File folder, wet since the flood</t>
  </si>
  <si>
    <t>VP_TOLIET_LID_MUDDY-1</t>
  </si>
  <si>
    <t xml:space="preserve">Toilet lid (outer), some dirt coverage </t>
  </si>
  <si>
    <t>PW_WATER_KTCH_SINK-1</t>
  </si>
  <si>
    <t>Water sample</t>
  </si>
  <si>
    <t>35°36′48″ N  82°19′12″ W</t>
  </si>
  <si>
    <t>Kitchen sink</t>
  </si>
  <si>
    <t>1 L</t>
  </si>
  <si>
    <t>Water</t>
  </si>
  <si>
    <t>PW_WATER_PTRAP-1</t>
  </si>
  <si>
    <t>P-trap</t>
  </si>
  <si>
    <t>45 mL</t>
  </si>
  <si>
    <t>VP_MUD_TOLIET-2</t>
  </si>
  <si>
    <t xml:space="preserve">Concession stand toilet </t>
  </si>
  <si>
    <t>VP_MUD_SINK-1</t>
  </si>
  <si>
    <t>Sink drain</t>
  </si>
  <si>
    <t>SourceSink</t>
  </si>
  <si>
    <t>Source</t>
  </si>
  <si>
    <t>Sink</t>
  </si>
  <si>
    <t>SourceSinkID</t>
  </si>
  <si>
    <t>GLF</t>
  </si>
  <si>
    <t>PW</t>
  </si>
  <si>
    <t>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</si>
</sst>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FF0B9-1366-4800-8D6D-8C22A1793CCD}">
  <dimension ref="A1:AC101"/>
  <sheetViews>
    <sheetView tabSelected="1" workbookViewId="0">
      <selection activeCell="I19" sqref="I19"/>
    </sheetView>
  </sheetViews>
  <sheetFormatPr defaultRowHeight="14.25" x14ac:dyDescent="0.45"/>
  <cols>
    <col min="1" max="1" width="13.86328125" bestFit="1" customWidth="1"/>
    <col min="4" max="4" width="46.3984375" bestFit="1" customWidth="1"/>
    <col min="5" max="24" width="9.06640625" customWidth="1"/>
    <col min="25" max="25" width="17.73046875" bestFit="1" customWidth="1"/>
    <col min="26" max="26" width="19" bestFit="1" customWidth="1"/>
  </cols>
  <sheetData>
    <row r="1" spans="1:2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7</v>
      </c>
      <c r="M1" t="s">
        <v>11</v>
      </c>
      <c r="N1" t="s">
        <v>12</v>
      </c>
      <c r="O1" t="s">
        <v>7</v>
      </c>
      <c r="P1" t="s">
        <v>13</v>
      </c>
      <c r="Q1" t="s">
        <v>14</v>
      </c>
      <c r="R1" t="s">
        <v>15</v>
      </c>
      <c r="S1" t="s">
        <v>16</v>
      </c>
      <c r="T1" t="s">
        <v>14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322</v>
      </c>
      <c r="AC1" t="s">
        <v>325</v>
      </c>
    </row>
    <row r="2" spans="1:29" x14ac:dyDescent="0.45">
      <c r="A2" s="1">
        <v>45674.691620370373</v>
      </c>
      <c r="B2" t="s">
        <v>24</v>
      </c>
      <c r="C2">
        <v>9</v>
      </c>
      <c r="D2" t="s">
        <v>25</v>
      </c>
      <c r="E2" t="s">
        <v>26</v>
      </c>
      <c r="F2" t="s">
        <v>27</v>
      </c>
      <c r="G2" t="s">
        <v>28</v>
      </c>
      <c r="P2" t="s">
        <v>29</v>
      </c>
      <c r="Q2" t="s">
        <v>30</v>
      </c>
      <c r="R2" t="s">
        <v>31</v>
      </c>
      <c r="S2" t="s">
        <v>32</v>
      </c>
      <c r="AA2" t="s">
        <v>27</v>
      </c>
      <c r="AB2" t="s">
        <v>323</v>
      </c>
      <c r="AC2" cm="1">
        <f t="array" ref="AC2">VLOOKUP(INDEX(_xlfn.TEXTSPLIT(D2, "_"), 1), Sheet2!A$1:B$3, 2, FALSE)</f>
        <v>2</v>
      </c>
    </row>
    <row r="3" spans="1:29" x14ac:dyDescent="0.45">
      <c r="A3" s="1">
        <v>45674.623692129629</v>
      </c>
      <c r="B3" t="s">
        <v>24</v>
      </c>
      <c r="C3">
        <v>11</v>
      </c>
      <c r="D3" t="s">
        <v>33</v>
      </c>
      <c r="E3" t="s">
        <v>26</v>
      </c>
      <c r="F3" t="s">
        <v>27</v>
      </c>
      <c r="G3" t="s">
        <v>34</v>
      </c>
      <c r="P3" t="s">
        <v>35</v>
      </c>
      <c r="Q3" t="s">
        <v>30</v>
      </c>
      <c r="R3" t="s">
        <v>31</v>
      </c>
      <c r="S3" t="s">
        <v>36</v>
      </c>
      <c r="AA3" t="s">
        <v>27</v>
      </c>
      <c r="AB3" t="s">
        <v>323</v>
      </c>
      <c r="AC3" cm="1">
        <f t="array" ref="AC3">VLOOKUP(INDEX(_xlfn.TEXTSPLIT(D3, "_"), 1), Sheet2!A$1:B$3, 2, FALSE)</f>
        <v>1</v>
      </c>
    </row>
    <row r="4" spans="1:29" x14ac:dyDescent="0.45">
      <c r="A4" s="1">
        <v>45674.739733796298</v>
      </c>
      <c r="B4" t="s">
        <v>24</v>
      </c>
      <c r="C4">
        <v>12</v>
      </c>
      <c r="D4" t="s">
        <v>37</v>
      </c>
      <c r="E4" t="s">
        <v>26</v>
      </c>
      <c r="F4" t="s">
        <v>27</v>
      </c>
      <c r="G4" t="s">
        <v>38</v>
      </c>
      <c r="P4" t="s">
        <v>39</v>
      </c>
      <c r="Q4" t="s">
        <v>30</v>
      </c>
      <c r="R4" t="s">
        <v>31</v>
      </c>
      <c r="S4" t="s">
        <v>40</v>
      </c>
      <c r="AA4" t="s">
        <v>27</v>
      </c>
      <c r="AB4" t="s">
        <v>323</v>
      </c>
      <c r="AC4" cm="1">
        <f t="array" ref="AC4">VLOOKUP(INDEX(_xlfn.TEXTSPLIT(D4, "_"), 1), Sheet2!A$1:B$3, 2, FALSE)</f>
        <v>3</v>
      </c>
    </row>
    <row r="5" spans="1:29" x14ac:dyDescent="0.45">
      <c r="A5" s="1">
        <v>45674.597881944443</v>
      </c>
      <c r="B5" t="s">
        <v>24</v>
      </c>
      <c r="C5">
        <v>14</v>
      </c>
      <c r="D5" t="s">
        <v>41</v>
      </c>
      <c r="E5" t="s">
        <v>26</v>
      </c>
      <c r="F5" t="s">
        <v>27</v>
      </c>
      <c r="G5" t="s">
        <v>42</v>
      </c>
      <c r="P5" t="s">
        <v>43</v>
      </c>
      <c r="Q5" t="s">
        <v>30</v>
      </c>
      <c r="R5" t="s">
        <v>31</v>
      </c>
      <c r="S5" t="s">
        <v>44</v>
      </c>
      <c r="AA5" t="s">
        <v>27</v>
      </c>
      <c r="AB5" t="s">
        <v>323</v>
      </c>
      <c r="AC5" cm="1">
        <f t="array" ref="AC5">VLOOKUP(INDEX(_xlfn.TEXTSPLIT(D5, "_"), 1), Sheet2!A$1:B$3, 2, FALSE)</f>
        <v>1</v>
      </c>
    </row>
    <row r="6" spans="1:29" x14ac:dyDescent="0.45">
      <c r="A6" s="1">
        <v>45674.693854166668</v>
      </c>
      <c r="B6" t="s">
        <v>24</v>
      </c>
      <c r="C6">
        <v>15</v>
      </c>
      <c r="D6" t="s">
        <v>45</v>
      </c>
      <c r="E6" t="s">
        <v>26</v>
      </c>
      <c r="F6" t="s">
        <v>27</v>
      </c>
      <c r="G6" t="s">
        <v>28</v>
      </c>
      <c r="P6" t="s">
        <v>46</v>
      </c>
      <c r="Q6" t="s">
        <v>30</v>
      </c>
      <c r="R6" t="s">
        <v>31</v>
      </c>
      <c r="S6" t="s">
        <v>47</v>
      </c>
      <c r="AA6" t="s">
        <v>27</v>
      </c>
      <c r="AB6" t="s">
        <v>323</v>
      </c>
      <c r="AC6" cm="1">
        <f t="array" ref="AC6">VLOOKUP(INDEX(_xlfn.TEXTSPLIT(D6, "_"), 1), Sheet2!A$1:B$3, 2, FALSE)</f>
        <v>2</v>
      </c>
    </row>
    <row r="7" spans="1:29" x14ac:dyDescent="0.45">
      <c r="A7" s="1">
        <v>45674.738263888888</v>
      </c>
      <c r="B7" t="s">
        <v>24</v>
      </c>
      <c r="C7">
        <v>17</v>
      </c>
      <c r="D7" t="s">
        <v>48</v>
      </c>
      <c r="E7" t="s">
        <v>26</v>
      </c>
      <c r="F7" t="s">
        <v>27</v>
      </c>
      <c r="G7" t="s">
        <v>38</v>
      </c>
      <c r="P7" t="s">
        <v>49</v>
      </c>
      <c r="Q7" t="s">
        <v>30</v>
      </c>
      <c r="R7" t="s">
        <v>31</v>
      </c>
      <c r="S7" t="s">
        <v>50</v>
      </c>
      <c r="AA7" t="s">
        <v>27</v>
      </c>
      <c r="AB7" t="s">
        <v>323</v>
      </c>
      <c r="AC7" cm="1">
        <f t="array" ref="AC7">VLOOKUP(INDEX(_xlfn.TEXTSPLIT(D7, "_"), 1), Sheet2!A$1:B$3, 2, FALSE)</f>
        <v>3</v>
      </c>
    </row>
    <row r="8" spans="1:29" x14ac:dyDescent="0.45">
      <c r="A8" s="1">
        <v>45674.684965277775</v>
      </c>
      <c r="B8" t="s">
        <v>24</v>
      </c>
      <c r="C8">
        <v>18</v>
      </c>
      <c r="D8" t="s">
        <v>51</v>
      </c>
      <c r="E8" t="s">
        <v>26</v>
      </c>
      <c r="F8" t="s">
        <v>27</v>
      </c>
      <c r="G8" t="s">
        <v>52</v>
      </c>
      <c r="P8" t="s">
        <v>53</v>
      </c>
      <c r="Q8" t="s">
        <v>30</v>
      </c>
      <c r="R8" t="s">
        <v>31</v>
      </c>
      <c r="S8" t="s">
        <v>54</v>
      </c>
      <c r="AA8" t="s">
        <v>27</v>
      </c>
      <c r="AB8" t="s">
        <v>323</v>
      </c>
      <c r="AC8" cm="1">
        <f t="array" ref="AC8">VLOOKUP(INDEX(_xlfn.TEXTSPLIT(D8, "_"), 1), Sheet2!A$1:B$3, 2, FALSE)</f>
        <v>2</v>
      </c>
    </row>
    <row r="9" spans="1:29" x14ac:dyDescent="0.45">
      <c r="A9" s="1">
        <v>45674.686319444445</v>
      </c>
      <c r="B9" t="s">
        <v>24</v>
      </c>
      <c r="C9">
        <v>19</v>
      </c>
      <c r="D9" t="s">
        <v>55</v>
      </c>
      <c r="E9" t="s">
        <v>26</v>
      </c>
      <c r="F9" t="s">
        <v>27</v>
      </c>
      <c r="G9" t="s">
        <v>52</v>
      </c>
      <c r="P9" t="s">
        <v>29</v>
      </c>
      <c r="Q9" t="s">
        <v>30</v>
      </c>
      <c r="R9" t="s">
        <v>31</v>
      </c>
      <c r="S9" t="s">
        <v>56</v>
      </c>
      <c r="AA9" t="s">
        <v>27</v>
      </c>
      <c r="AB9" t="s">
        <v>323</v>
      </c>
      <c r="AC9" cm="1">
        <f t="array" ref="AC9">VLOOKUP(INDEX(_xlfn.TEXTSPLIT(D9, "_"), 1), Sheet2!A$1:B$3, 2, FALSE)</f>
        <v>2</v>
      </c>
    </row>
    <row r="10" spans="1:29" x14ac:dyDescent="0.45">
      <c r="A10" s="1">
        <v>45674.672777777778</v>
      </c>
      <c r="B10" t="s">
        <v>24</v>
      </c>
      <c r="C10">
        <v>22</v>
      </c>
      <c r="D10" t="s">
        <v>57</v>
      </c>
      <c r="E10" t="s">
        <v>26</v>
      </c>
      <c r="F10" t="s">
        <v>27</v>
      </c>
      <c r="G10" t="s">
        <v>58</v>
      </c>
      <c r="P10" t="s">
        <v>29</v>
      </c>
      <c r="Q10" t="s">
        <v>30</v>
      </c>
      <c r="R10" t="s">
        <v>59</v>
      </c>
      <c r="S10" t="s">
        <v>60</v>
      </c>
      <c r="AA10" t="s">
        <v>27</v>
      </c>
      <c r="AB10" t="s">
        <v>323</v>
      </c>
      <c r="AC10" cm="1">
        <f t="array" ref="AC10">VLOOKUP(INDEX(_xlfn.TEXTSPLIT(D10, "_"), 1), Sheet2!A$1:B$3, 2, FALSE)</f>
        <v>2</v>
      </c>
    </row>
    <row r="11" spans="1:29" x14ac:dyDescent="0.45">
      <c r="A11" s="1">
        <v>45674.737175925926</v>
      </c>
      <c r="B11" t="s">
        <v>24</v>
      </c>
      <c r="C11">
        <v>66</v>
      </c>
      <c r="D11" t="s">
        <v>61</v>
      </c>
      <c r="E11" t="s">
        <v>26</v>
      </c>
      <c r="F11" t="s">
        <v>27</v>
      </c>
      <c r="G11" t="s">
        <v>38</v>
      </c>
      <c r="P11" t="s">
        <v>49</v>
      </c>
      <c r="Q11" t="s">
        <v>30</v>
      </c>
      <c r="R11" t="s">
        <v>31</v>
      </c>
      <c r="S11" t="s">
        <v>62</v>
      </c>
      <c r="AA11" t="s">
        <v>27</v>
      </c>
      <c r="AB11" t="s">
        <v>323</v>
      </c>
      <c r="AC11" cm="1">
        <f t="array" ref="AC11">VLOOKUP(INDEX(_xlfn.TEXTSPLIT(D11, "_"), 1), Sheet2!A$1:B$3, 2, FALSE)</f>
        <v>3</v>
      </c>
    </row>
    <row r="12" spans="1:29" x14ac:dyDescent="0.45">
      <c r="A12" s="1">
        <v>45674.676608796297</v>
      </c>
      <c r="B12" t="s">
        <v>24</v>
      </c>
      <c r="C12">
        <v>69</v>
      </c>
      <c r="D12" t="s">
        <v>63</v>
      </c>
      <c r="E12" t="s">
        <v>26</v>
      </c>
      <c r="F12" t="s">
        <v>27</v>
      </c>
      <c r="G12" t="s">
        <v>64</v>
      </c>
      <c r="P12" t="s">
        <v>43</v>
      </c>
      <c r="Q12" t="s">
        <v>30</v>
      </c>
      <c r="R12" t="s">
        <v>31</v>
      </c>
      <c r="S12" t="s">
        <v>65</v>
      </c>
      <c r="AA12" t="s">
        <v>27</v>
      </c>
      <c r="AB12" t="s">
        <v>323</v>
      </c>
      <c r="AC12" cm="1">
        <f t="array" ref="AC12">VLOOKUP(INDEX(_xlfn.TEXTSPLIT(D12, "_"), 1), Sheet2!A$1:B$3, 2, FALSE)</f>
        <v>2</v>
      </c>
    </row>
    <row r="13" spans="1:29" x14ac:dyDescent="0.45">
      <c r="A13" s="1">
        <v>45674.743703703702</v>
      </c>
      <c r="B13" t="s">
        <v>24</v>
      </c>
      <c r="C13">
        <v>70</v>
      </c>
      <c r="D13" t="s">
        <v>66</v>
      </c>
      <c r="E13" t="s">
        <v>26</v>
      </c>
      <c r="F13" t="s">
        <v>27</v>
      </c>
      <c r="G13" t="s">
        <v>67</v>
      </c>
      <c r="P13" t="s">
        <v>68</v>
      </c>
      <c r="Q13" t="s">
        <v>30</v>
      </c>
      <c r="R13" t="s">
        <v>31</v>
      </c>
      <c r="S13" t="s">
        <v>69</v>
      </c>
      <c r="AA13" t="s">
        <v>27</v>
      </c>
      <c r="AB13" t="s">
        <v>323</v>
      </c>
      <c r="AC13" cm="1">
        <f t="array" ref="AC13">VLOOKUP(INDEX(_xlfn.TEXTSPLIT(D13, "_"), 1), Sheet2!A$1:B$3, 2, FALSE)</f>
        <v>3</v>
      </c>
    </row>
    <row r="14" spans="1:29" x14ac:dyDescent="0.45">
      <c r="A14" s="1">
        <v>45674.681689814817</v>
      </c>
      <c r="B14" t="s">
        <v>24</v>
      </c>
      <c r="C14">
        <v>76</v>
      </c>
      <c r="D14" t="s">
        <v>70</v>
      </c>
      <c r="E14" t="s">
        <v>26</v>
      </c>
      <c r="F14" t="s">
        <v>27</v>
      </c>
      <c r="G14" t="s">
        <v>71</v>
      </c>
      <c r="P14" t="s">
        <v>29</v>
      </c>
      <c r="Q14" t="s">
        <v>30</v>
      </c>
      <c r="R14" t="s">
        <v>31</v>
      </c>
      <c r="S14" t="s">
        <v>72</v>
      </c>
      <c r="AA14" t="s">
        <v>27</v>
      </c>
      <c r="AB14" t="s">
        <v>323</v>
      </c>
      <c r="AC14" cm="1">
        <f t="array" ref="AC14">VLOOKUP(INDEX(_xlfn.TEXTSPLIT(D14, "_"), 1), Sheet2!A$1:B$3, 2, FALSE)</f>
        <v>2</v>
      </c>
    </row>
    <row r="15" spans="1:29" x14ac:dyDescent="0.45">
      <c r="A15" s="1">
        <v>45674.596192129633</v>
      </c>
      <c r="B15" t="s">
        <v>24</v>
      </c>
      <c r="C15">
        <v>77</v>
      </c>
      <c r="D15" t="s">
        <v>73</v>
      </c>
      <c r="E15" t="s">
        <v>26</v>
      </c>
      <c r="F15" t="s">
        <v>27</v>
      </c>
      <c r="G15" t="s">
        <v>74</v>
      </c>
      <c r="P15" t="s">
        <v>75</v>
      </c>
      <c r="Q15" t="s">
        <v>30</v>
      </c>
      <c r="R15" t="s">
        <v>59</v>
      </c>
      <c r="S15" t="s">
        <v>76</v>
      </c>
      <c r="AA15" t="s">
        <v>27</v>
      </c>
      <c r="AB15" t="s">
        <v>323</v>
      </c>
      <c r="AC15" cm="1">
        <f t="array" ref="AC15">VLOOKUP(INDEX(_xlfn.TEXTSPLIT(D15, "_"), 1), Sheet2!A$1:B$3, 2, FALSE)</f>
        <v>1</v>
      </c>
    </row>
    <row r="16" spans="1:29" x14ac:dyDescent="0.45">
      <c r="A16" s="1">
        <v>45674.67491898148</v>
      </c>
      <c r="B16" t="s">
        <v>24</v>
      </c>
      <c r="C16">
        <v>79</v>
      </c>
      <c r="D16" t="s">
        <v>77</v>
      </c>
      <c r="E16" t="s">
        <v>26</v>
      </c>
      <c r="F16" t="s">
        <v>27</v>
      </c>
      <c r="G16" t="s">
        <v>64</v>
      </c>
      <c r="P16" t="s">
        <v>78</v>
      </c>
      <c r="Q16" t="s">
        <v>30</v>
      </c>
      <c r="R16" t="s">
        <v>31</v>
      </c>
      <c r="S16" t="s">
        <v>79</v>
      </c>
      <c r="AA16" t="s">
        <v>27</v>
      </c>
      <c r="AB16" t="s">
        <v>323</v>
      </c>
      <c r="AC16" cm="1">
        <f t="array" ref="AC16">VLOOKUP(INDEX(_xlfn.TEXTSPLIT(D16, "_"), 1), Sheet2!A$1:B$3, 2, FALSE)</f>
        <v>2</v>
      </c>
    </row>
    <row r="17" spans="1:29" x14ac:dyDescent="0.45">
      <c r="A17" s="1">
        <v>45674.679722222223</v>
      </c>
      <c r="B17" t="s">
        <v>24</v>
      </c>
      <c r="C17">
        <v>81</v>
      </c>
      <c r="D17" t="s">
        <v>80</v>
      </c>
      <c r="E17" t="s">
        <v>26</v>
      </c>
      <c r="F17" t="s">
        <v>27</v>
      </c>
      <c r="G17" t="s">
        <v>71</v>
      </c>
      <c r="P17" t="s">
        <v>81</v>
      </c>
      <c r="Q17" t="s">
        <v>30</v>
      </c>
      <c r="R17" t="s">
        <v>31</v>
      </c>
      <c r="S17" t="s">
        <v>82</v>
      </c>
      <c r="AA17" t="s">
        <v>27</v>
      </c>
      <c r="AB17" t="s">
        <v>323</v>
      </c>
      <c r="AC17" cm="1">
        <f t="array" ref="AC17">VLOOKUP(INDEX(_xlfn.TEXTSPLIT(D17, "_"), 1), Sheet2!A$1:B$3, 2, FALSE)</f>
        <v>2</v>
      </c>
    </row>
    <row r="18" spans="1:29" x14ac:dyDescent="0.45">
      <c r="A18" s="1">
        <v>45674.662280092591</v>
      </c>
      <c r="B18" t="s">
        <v>24</v>
      </c>
      <c r="C18">
        <v>86</v>
      </c>
      <c r="D18" t="s">
        <v>83</v>
      </c>
      <c r="E18" t="s">
        <v>84</v>
      </c>
      <c r="F18" t="s">
        <v>85</v>
      </c>
      <c r="G18" t="s">
        <v>86</v>
      </c>
      <c r="T18" t="s">
        <v>87</v>
      </c>
      <c r="V18" t="s">
        <v>88</v>
      </c>
      <c r="AA18" t="s">
        <v>89</v>
      </c>
      <c r="AB18" t="s">
        <v>324</v>
      </c>
      <c r="AC18" cm="1">
        <f t="array" ref="AC18">VLOOKUP(INDEX(_xlfn.TEXTSPLIT(D18, "_"), 1), Sheet2!A$1:B$3, 2, FALSE)</f>
        <v>1</v>
      </c>
    </row>
    <row r="19" spans="1:29" x14ac:dyDescent="0.45">
      <c r="A19" s="1">
        <v>45674.662800925929</v>
      </c>
      <c r="B19" t="s">
        <v>24</v>
      </c>
      <c r="C19">
        <v>87</v>
      </c>
      <c r="D19" t="s">
        <v>90</v>
      </c>
      <c r="E19" t="s">
        <v>84</v>
      </c>
      <c r="F19" t="s">
        <v>85</v>
      </c>
      <c r="G19" t="s">
        <v>86</v>
      </c>
      <c r="T19" t="s">
        <v>87</v>
      </c>
      <c r="V19" t="s">
        <v>91</v>
      </c>
      <c r="AA19" t="s">
        <v>89</v>
      </c>
      <c r="AB19" t="s">
        <v>324</v>
      </c>
      <c r="AC19" cm="1">
        <f t="array" ref="AC19">VLOOKUP(INDEX(_xlfn.TEXTSPLIT(D19, "_"), 1), Sheet2!A$1:B$3, 2, FALSE)</f>
        <v>1</v>
      </c>
    </row>
    <row r="20" spans="1:29" x14ac:dyDescent="0.45">
      <c r="A20" s="1">
        <v>45674.663530092592</v>
      </c>
      <c r="B20" t="s">
        <v>24</v>
      </c>
      <c r="C20">
        <v>88</v>
      </c>
      <c r="D20" t="s">
        <v>92</v>
      </c>
      <c r="E20" t="s">
        <v>84</v>
      </c>
      <c r="F20" t="s">
        <v>85</v>
      </c>
      <c r="G20" t="s">
        <v>86</v>
      </c>
      <c r="T20" t="s">
        <v>87</v>
      </c>
      <c r="V20" t="s">
        <v>93</v>
      </c>
      <c r="AA20" t="s">
        <v>94</v>
      </c>
      <c r="AB20" t="s">
        <v>324</v>
      </c>
      <c r="AC20" cm="1">
        <f t="array" ref="AC20">VLOOKUP(INDEX(_xlfn.TEXTSPLIT(D20, "_"), 1), Sheet2!A$1:B$3, 2, FALSE)</f>
        <v>1</v>
      </c>
    </row>
    <row r="21" spans="1:29" x14ac:dyDescent="0.45">
      <c r="A21" s="1">
        <v>45674.663969907408</v>
      </c>
      <c r="B21" t="s">
        <v>24</v>
      </c>
      <c r="C21">
        <v>89</v>
      </c>
      <c r="D21" t="s">
        <v>95</v>
      </c>
      <c r="E21" t="s">
        <v>84</v>
      </c>
      <c r="F21" t="s">
        <v>85</v>
      </c>
      <c r="G21" t="s">
        <v>86</v>
      </c>
      <c r="T21" t="s">
        <v>87</v>
      </c>
      <c r="V21" t="s">
        <v>96</v>
      </c>
      <c r="AA21" t="s">
        <v>97</v>
      </c>
      <c r="AB21" t="s">
        <v>324</v>
      </c>
      <c r="AC21" cm="1">
        <f t="array" ref="AC21">VLOOKUP(INDEX(_xlfn.TEXTSPLIT(D21, "_"), 1), Sheet2!A$1:B$3, 2, FALSE)</f>
        <v>1</v>
      </c>
    </row>
    <row r="22" spans="1:29" x14ac:dyDescent="0.45">
      <c r="A22" s="1">
        <v>45674.664837962962</v>
      </c>
      <c r="B22" t="s">
        <v>24</v>
      </c>
      <c r="C22">
        <v>90</v>
      </c>
      <c r="D22" t="s">
        <v>98</v>
      </c>
      <c r="E22" t="s">
        <v>84</v>
      </c>
      <c r="F22" t="s">
        <v>85</v>
      </c>
      <c r="G22" t="s">
        <v>99</v>
      </c>
      <c r="T22" t="s">
        <v>87</v>
      </c>
      <c r="V22" t="s">
        <v>100</v>
      </c>
      <c r="AA22" t="s">
        <v>101</v>
      </c>
      <c r="AB22" t="s">
        <v>324</v>
      </c>
      <c r="AC22" cm="1">
        <f t="array" ref="AC22">VLOOKUP(INDEX(_xlfn.TEXTSPLIT(D22, "_"), 1), Sheet2!A$1:B$3, 2, FALSE)</f>
        <v>1</v>
      </c>
    </row>
    <row r="23" spans="1:29" x14ac:dyDescent="0.45">
      <c r="A23" s="1">
        <v>45674.665636574071</v>
      </c>
      <c r="B23" t="s">
        <v>24</v>
      </c>
      <c r="C23">
        <v>91</v>
      </c>
      <c r="D23" t="s">
        <v>102</v>
      </c>
      <c r="E23" t="s">
        <v>84</v>
      </c>
      <c r="F23" t="s">
        <v>85</v>
      </c>
      <c r="G23" t="s">
        <v>103</v>
      </c>
      <c r="T23" t="s">
        <v>87</v>
      </c>
      <c r="V23" t="s">
        <v>104</v>
      </c>
      <c r="AA23" t="s">
        <v>97</v>
      </c>
      <c r="AB23" t="s">
        <v>324</v>
      </c>
      <c r="AC23" cm="1">
        <f t="array" ref="AC23">VLOOKUP(INDEX(_xlfn.TEXTSPLIT(D23, "_"), 1), Sheet2!A$1:B$3, 2, FALSE)</f>
        <v>1</v>
      </c>
    </row>
    <row r="24" spans="1:29" x14ac:dyDescent="0.45">
      <c r="A24" s="1">
        <v>45674.666331018518</v>
      </c>
      <c r="B24" t="s">
        <v>24</v>
      </c>
      <c r="C24">
        <v>92</v>
      </c>
      <c r="D24" t="s">
        <v>105</v>
      </c>
      <c r="E24" t="s">
        <v>84</v>
      </c>
      <c r="F24" t="s">
        <v>85</v>
      </c>
      <c r="G24" t="s">
        <v>106</v>
      </c>
      <c r="T24" t="s">
        <v>87</v>
      </c>
      <c r="U24" t="s">
        <v>107</v>
      </c>
      <c r="V24" t="s">
        <v>108</v>
      </c>
      <c r="AA24" t="s">
        <v>94</v>
      </c>
      <c r="AB24" t="s">
        <v>324</v>
      </c>
      <c r="AC24" cm="1">
        <f t="array" ref="AC24">VLOOKUP(INDEX(_xlfn.TEXTSPLIT(D24, "_"), 1), Sheet2!A$1:B$3, 2, FALSE)</f>
        <v>1</v>
      </c>
    </row>
    <row r="25" spans="1:29" x14ac:dyDescent="0.45">
      <c r="A25" s="1">
        <v>45674.769745370373</v>
      </c>
      <c r="B25" t="s">
        <v>24</v>
      </c>
      <c r="C25">
        <v>93</v>
      </c>
      <c r="D25" t="s">
        <v>109</v>
      </c>
      <c r="E25" t="s">
        <v>84</v>
      </c>
      <c r="F25" t="s">
        <v>85</v>
      </c>
      <c r="G25" t="s">
        <v>110</v>
      </c>
      <c r="T25" t="s">
        <v>87</v>
      </c>
      <c r="V25" t="s">
        <v>111</v>
      </c>
      <c r="AA25" t="s">
        <v>112</v>
      </c>
      <c r="AB25" t="s">
        <v>324</v>
      </c>
      <c r="AC25" cm="1">
        <f t="array" ref="AC25">VLOOKUP(INDEX(_xlfn.TEXTSPLIT(D25, "_"), 1), Sheet2!A$1:B$3, 2, FALSE)</f>
        <v>1</v>
      </c>
    </row>
    <row r="26" spans="1:29" x14ac:dyDescent="0.45">
      <c r="A26" s="1">
        <v>45674.615902777776</v>
      </c>
      <c r="B26" t="s">
        <v>24</v>
      </c>
      <c r="C26">
        <v>94</v>
      </c>
      <c r="D26" t="s">
        <v>113</v>
      </c>
      <c r="E26" t="s">
        <v>114</v>
      </c>
      <c r="F26" t="s">
        <v>85</v>
      </c>
      <c r="G26" t="s">
        <v>115</v>
      </c>
      <c r="T26" t="s">
        <v>87</v>
      </c>
      <c r="V26" t="s">
        <v>116</v>
      </c>
      <c r="AA26" t="s">
        <v>117</v>
      </c>
      <c r="AB26" t="s">
        <v>324</v>
      </c>
      <c r="AC26" cm="1">
        <f t="array" ref="AC26">VLOOKUP(INDEX(_xlfn.TEXTSPLIT(D26, "_"), 1), Sheet2!A$1:B$3, 2, FALSE)</f>
        <v>1</v>
      </c>
    </row>
    <row r="27" spans="1:29" x14ac:dyDescent="0.45">
      <c r="A27" s="1">
        <v>45674.772499999999</v>
      </c>
      <c r="B27" t="s">
        <v>24</v>
      </c>
      <c r="C27">
        <v>96</v>
      </c>
      <c r="D27" t="s">
        <v>118</v>
      </c>
      <c r="E27" t="s">
        <v>84</v>
      </c>
      <c r="F27" t="s">
        <v>85</v>
      </c>
      <c r="G27" t="s">
        <v>119</v>
      </c>
      <c r="T27" t="s">
        <v>87</v>
      </c>
      <c r="V27" t="s">
        <v>120</v>
      </c>
      <c r="AA27" t="s">
        <v>101</v>
      </c>
      <c r="AB27" t="s">
        <v>324</v>
      </c>
      <c r="AC27" cm="1">
        <f t="array" ref="AC27">VLOOKUP(INDEX(_xlfn.TEXTSPLIT(D27, "_"), 1), Sheet2!A$1:B$3, 2, FALSE)</f>
        <v>1</v>
      </c>
    </row>
    <row r="28" spans="1:29" x14ac:dyDescent="0.45">
      <c r="A28" s="1">
        <v>45674.7731712963</v>
      </c>
      <c r="B28" t="s">
        <v>24</v>
      </c>
      <c r="C28">
        <v>97</v>
      </c>
      <c r="D28" t="s">
        <v>121</v>
      </c>
      <c r="E28" t="s">
        <v>84</v>
      </c>
      <c r="F28" t="s">
        <v>85</v>
      </c>
      <c r="G28" t="s">
        <v>119</v>
      </c>
      <c r="T28" t="s">
        <v>87</v>
      </c>
      <c r="V28" t="s">
        <v>122</v>
      </c>
      <c r="AA28" t="s">
        <v>112</v>
      </c>
      <c r="AB28" t="s">
        <v>324</v>
      </c>
      <c r="AC28" cm="1">
        <f t="array" ref="AC28">VLOOKUP(INDEX(_xlfn.TEXTSPLIT(D28, "_"), 1), Sheet2!A$1:B$3, 2, FALSE)</f>
        <v>1</v>
      </c>
    </row>
    <row r="29" spans="1:29" x14ac:dyDescent="0.45">
      <c r="A29" s="1">
        <v>45674.774988425925</v>
      </c>
      <c r="B29" t="s">
        <v>24</v>
      </c>
      <c r="C29">
        <v>98</v>
      </c>
      <c r="D29" t="s">
        <v>123</v>
      </c>
      <c r="E29" t="s">
        <v>84</v>
      </c>
      <c r="F29" t="s">
        <v>85</v>
      </c>
      <c r="G29" t="s">
        <v>124</v>
      </c>
      <c r="T29" t="s">
        <v>87</v>
      </c>
      <c r="V29" t="s">
        <v>125</v>
      </c>
      <c r="AA29" t="s">
        <v>101</v>
      </c>
      <c r="AB29" t="s">
        <v>324</v>
      </c>
      <c r="AC29" cm="1">
        <f t="array" ref="AC29">VLOOKUP(INDEX(_xlfn.TEXTSPLIT(D29, "_"), 1), Sheet2!A$1:B$3, 2, FALSE)</f>
        <v>1</v>
      </c>
    </row>
    <row r="30" spans="1:29" x14ac:dyDescent="0.45">
      <c r="A30" s="1">
        <v>45674.619849537034</v>
      </c>
      <c r="B30" t="s">
        <v>24</v>
      </c>
      <c r="C30">
        <v>99</v>
      </c>
      <c r="D30" t="s">
        <v>126</v>
      </c>
      <c r="E30" t="s">
        <v>114</v>
      </c>
      <c r="F30" t="s">
        <v>85</v>
      </c>
      <c r="G30" t="s">
        <v>115</v>
      </c>
      <c r="T30" t="s">
        <v>87</v>
      </c>
      <c r="V30" t="s">
        <v>127</v>
      </c>
      <c r="AA30" t="s">
        <v>128</v>
      </c>
      <c r="AB30" t="s">
        <v>324</v>
      </c>
      <c r="AC30" cm="1">
        <f t="array" ref="AC30">VLOOKUP(INDEX(_xlfn.TEXTSPLIT(D30, "_"), 1), Sheet2!A$1:B$3, 2, FALSE)</f>
        <v>1</v>
      </c>
    </row>
    <row r="31" spans="1:29" x14ac:dyDescent="0.45">
      <c r="A31" s="1">
        <v>45674.620462962965</v>
      </c>
      <c r="B31" t="s">
        <v>24</v>
      </c>
      <c r="C31">
        <v>100</v>
      </c>
      <c r="D31" t="s">
        <v>129</v>
      </c>
      <c r="E31" t="s">
        <v>114</v>
      </c>
      <c r="F31" t="s">
        <v>85</v>
      </c>
      <c r="G31" t="s">
        <v>115</v>
      </c>
      <c r="T31" t="s">
        <v>87</v>
      </c>
      <c r="V31" t="s">
        <v>130</v>
      </c>
      <c r="AA31" t="s">
        <v>128</v>
      </c>
      <c r="AB31" t="s">
        <v>324</v>
      </c>
      <c r="AC31" cm="1">
        <f t="array" ref="AC31">VLOOKUP(INDEX(_xlfn.TEXTSPLIT(D31, "_"), 1), Sheet2!A$1:B$3, 2, FALSE)</f>
        <v>1</v>
      </c>
    </row>
    <row r="32" spans="1:29" x14ac:dyDescent="0.45">
      <c r="A32" s="1">
        <v>45674.770486111112</v>
      </c>
      <c r="B32" t="s">
        <v>24</v>
      </c>
      <c r="C32">
        <v>101</v>
      </c>
      <c r="D32" t="s">
        <v>131</v>
      </c>
      <c r="E32" t="s">
        <v>84</v>
      </c>
      <c r="F32" t="s">
        <v>85</v>
      </c>
      <c r="G32" t="s">
        <v>110</v>
      </c>
      <c r="T32" t="s">
        <v>87</v>
      </c>
      <c r="U32">
        <v>10</v>
      </c>
      <c r="V32" t="s">
        <v>132</v>
      </c>
      <c r="AA32" t="s">
        <v>112</v>
      </c>
      <c r="AB32" t="s">
        <v>324</v>
      </c>
      <c r="AC32" cm="1">
        <f t="array" ref="AC32">VLOOKUP(INDEX(_xlfn.TEXTSPLIT(D32, "_"), 1), Sheet2!A$1:B$3, 2, FALSE)</f>
        <v>1</v>
      </c>
    </row>
    <row r="33" spans="1:29" x14ac:dyDescent="0.45">
      <c r="A33" s="1">
        <v>45674.771192129629</v>
      </c>
      <c r="B33" t="s">
        <v>24</v>
      </c>
      <c r="C33">
        <v>102</v>
      </c>
      <c r="D33" t="s">
        <v>133</v>
      </c>
      <c r="E33" t="s">
        <v>84</v>
      </c>
      <c r="F33" t="s">
        <v>85</v>
      </c>
      <c r="G33" t="s">
        <v>110</v>
      </c>
      <c r="T33" t="s">
        <v>87</v>
      </c>
      <c r="U33">
        <v>10</v>
      </c>
      <c r="V33" t="s">
        <v>134</v>
      </c>
      <c r="AA33" t="s">
        <v>89</v>
      </c>
      <c r="AB33" t="s">
        <v>324</v>
      </c>
      <c r="AC33" cm="1">
        <f t="array" ref="AC33">VLOOKUP(INDEX(_xlfn.TEXTSPLIT(D33, "_"), 1), Sheet2!A$1:B$3, 2, FALSE)</f>
        <v>1</v>
      </c>
    </row>
    <row r="34" spans="1:29" x14ac:dyDescent="0.45">
      <c r="A34" s="1">
        <v>45674.775694444441</v>
      </c>
      <c r="B34" t="s">
        <v>24</v>
      </c>
      <c r="C34">
        <v>103</v>
      </c>
      <c r="D34" t="s">
        <v>135</v>
      </c>
      <c r="E34" t="s">
        <v>84</v>
      </c>
      <c r="F34" t="s">
        <v>85</v>
      </c>
      <c r="G34" t="s">
        <v>136</v>
      </c>
      <c r="T34" t="s">
        <v>87</v>
      </c>
      <c r="V34" t="s">
        <v>137</v>
      </c>
      <c r="AA34" t="s">
        <v>101</v>
      </c>
      <c r="AB34" t="s">
        <v>324</v>
      </c>
      <c r="AC34" cm="1">
        <f t="array" ref="AC34">VLOOKUP(INDEX(_xlfn.TEXTSPLIT(D34, "_"), 1), Sheet2!A$1:B$3, 2, FALSE)</f>
        <v>1</v>
      </c>
    </row>
    <row r="35" spans="1:29" x14ac:dyDescent="0.45">
      <c r="A35" s="1">
        <v>45674.625902777778</v>
      </c>
      <c r="B35" t="s">
        <v>24</v>
      </c>
      <c r="C35">
        <v>104</v>
      </c>
      <c r="D35" t="s">
        <v>138</v>
      </c>
      <c r="E35" t="s">
        <v>114</v>
      </c>
      <c r="F35" t="s">
        <v>85</v>
      </c>
      <c r="G35" t="s">
        <v>139</v>
      </c>
      <c r="T35" t="s">
        <v>87</v>
      </c>
      <c r="V35" t="s">
        <v>140</v>
      </c>
      <c r="AA35" t="s">
        <v>97</v>
      </c>
      <c r="AB35" t="s">
        <v>324</v>
      </c>
      <c r="AC35" cm="1">
        <f t="array" ref="AC35">VLOOKUP(INDEX(_xlfn.TEXTSPLIT(D35, "_"), 1), Sheet2!A$1:B$3, 2, FALSE)</f>
        <v>1</v>
      </c>
    </row>
    <row r="36" spans="1:29" x14ac:dyDescent="0.45">
      <c r="A36" s="1">
        <v>45674.628067129626</v>
      </c>
      <c r="B36" t="s">
        <v>24</v>
      </c>
      <c r="C36">
        <v>105</v>
      </c>
      <c r="D36" t="s">
        <v>141</v>
      </c>
      <c r="E36" t="s">
        <v>114</v>
      </c>
      <c r="F36" t="s">
        <v>85</v>
      </c>
      <c r="G36" t="s">
        <v>139</v>
      </c>
      <c r="T36" t="s">
        <v>87</v>
      </c>
      <c r="V36" t="s">
        <v>142</v>
      </c>
      <c r="AA36" t="s">
        <v>97</v>
      </c>
      <c r="AB36" t="s">
        <v>324</v>
      </c>
      <c r="AC36" cm="1">
        <f t="array" ref="AC36">VLOOKUP(INDEX(_xlfn.TEXTSPLIT(D36, "_"), 1), Sheet2!A$1:B$3, 2, FALSE)</f>
        <v>1</v>
      </c>
    </row>
    <row r="37" spans="1:29" x14ac:dyDescent="0.45">
      <c r="A37" s="1">
        <v>45674.637106481481</v>
      </c>
      <c r="B37" t="s">
        <v>24</v>
      </c>
      <c r="C37">
        <v>106</v>
      </c>
      <c r="D37" t="s">
        <v>143</v>
      </c>
      <c r="E37" t="s">
        <v>114</v>
      </c>
      <c r="F37" t="s">
        <v>85</v>
      </c>
      <c r="G37" t="s">
        <v>136</v>
      </c>
      <c r="T37" t="s">
        <v>87</v>
      </c>
      <c r="U37" t="s">
        <v>144</v>
      </c>
      <c r="V37" t="s">
        <v>145</v>
      </c>
      <c r="AA37" t="s">
        <v>128</v>
      </c>
      <c r="AB37" t="s">
        <v>324</v>
      </c>
      <c r="AC37" cm="1">
        <f t="array" ref="AC37">VLOOKUP(INDEX(_xlfn.TEXTSPLIT(D37, "_"), 1), Sheet2!A$1:B$3, 2, FALSE)</f>
        <v>1</v>
      </c>
    </row>
    <row r="38" spans="1:29" x14ac:dyDescent="0.45">
      <c r="A38" s="1">
        <v>45674.643368055556</v>
      </c>
      <c r="B38" t="s">
        <v>24</v>
      </c>
      <c r="C38">
        <v>107</v>
      </c>
      <c r="D38" t="s">
        <v>146</v>
      </c>
      <c r="E38" t="s">
        <v>114</v>
      </c>
      <c r="F38" t="s">
        <v>85</v>
      </c>
      <c r="G38" t="s">
        <v>139</v>
      </c>
      <c r="T38" t="s">
        <v>87</v>
      </c>
      <c r="V38" t="s">
        <v>147</v>
      </c>
      <c r="AA38" t="s">
        <v>89</v>
      </c>
      <c r="AB38" t="s">
        <v>324</v>
      </c>
      <c r="AC38" cm="1">
        <f t="array" ref="AC38">VLOOKUP(INDEX(_xlfn.TEXTSPLIT(D38, "_"), 1), Sheet2!A$1:B$3, 2, FALSE)</f>
        <v>1</v>
      </c>
    </row>
    <row r="39" spans="1:29" x14ac:dyDescent="0.45">
      <c r="A39" s="1">
        <v>45674.699305555558</v>
      </c>
      <c r="B39" t="s">
        <v>24</v>
      </c>
      <c r="C39">
        <v>108</v>
      </c>
      <c r="D39" t="s">
        <v>148</v>
      </c>
      <c r="E39" t="s">
        <v>114</v>
      </c>
      <c r="F39" t="s">
        <v>85</v>
      </c>
      <c r="G39" t="s">
        <v>149</v>
      </c>
      <c r="T39" t="s">
        <v>87</v>
      </c>
      <c r="U39" t="s">
        <v>144</v>
      </c>
      <c r="V39" t="s">
        <v>150</v>
      </c>
      <c r="AA39" t="s">
        <v>151</v>
      </c>
      <c r="AB39" t="s">
        <v>324</v>
      </c>
      <c r="AC39" cm="1">
        <f t="array" ref="AC39">VLOOKUP(INDEX(_xlfn.TEXTSPLIT(D39, "_"), 1), Sheet2!A$1:B$3, 2, FALSE)</f>
        <v>1</v>
      </c>
    </row>
    <row r="40" spans="1:29" x14ac:dyDescent="0.45">
      <c r="A40" s="1">
        <v>45674.639409722222</v>
      </c>
      <c r="B40" t="s">
        <v>24</v>
      </c>
      <c r="C40">
        <v>109</v>
      </c>
      <c r="D40" t="s">
        <v>152</v>
      </c>
      <c r="E40" t="s">
        <v>114</v>
      </c>
      <c r="F40" t="s">
        <v>85</v>
      </c>
      <c r="G40" t="s">
        <v>136</v>
      </c>
      <c r="T40" t="s">
        <v>87</v>
      </c>
      <c r="U40" t="s">
        <v>144</v>
      </c>
      <c r="V40" t="s">
        <v>153</v>
      </c>
      <c r="AA40" t="s">
        <v>151</v>
      </c>
      <c r="AB40" t="s">
        <v>324</v>
      </c>
      <c r="AC40" cm="1">
        <f t="array" ref="AC40">VLOOKUP(INDEX(_xlfn.TEXTSPLIT(D40, "_"), 1), Sheet2!A$1:B$3, 2, FALSE)</f>
        <v>1</v>
      </c>
    </row>
    <row r="41" spans="1:29" x14ac:dyDescent="0.45">
      <c r="A41" s="1">
        <v>45674.773796296293</v>
      </c>
      <c r="B41" t="s">
        <v>24</v>
      </c>
      <c r="C41">
        <v>110</v>
      </c>
      <c r="D41" t="s">
        <v>154</v>
      </c>
      <c r="E41" t="s">
        <v>84</v>
      </c>
      <c r="F41" t="s">
        <v>85</v>
      </c>
      <c r="G41" t="s">
        <v>119</v>
      </c>
      <c r="T41" t="s">
        <v>87</v>
      </c>
      <c r="U41">
        <v>10</v>
      </c>
      <c r="V41" t="s">
        <v>155</v>
      </c>
      <c r="AA41" t="s">
        <v>156</v>
      </c>
      <c r="AB41" t="s">
        <v>324</v>
      </c>
      <c r="AC41" cm="1">
        <f t="array" ref="AC41">VLOOKUP(INDEX(_xlfn.TEXTSPLIT(D41, "_"), 1), Sheet2!A$1:B$3, 2, FALSE)</f>
        <v>1</v>
      </c>
    </row>
    <row r="42" spans="1:29" x14ac:dyDescent="0.45">
      <c r="A42" s="1">
        <v>45674.77715277778</v>
      </c>
      <c r="B42" t="s">
        <v>24</v>
      </c>
      <c r="C42">
        <v>111</v>
      </c>
      <c r="D42" t="s">
        <v>157</v>
      </c>
      <c r="E42" t="s">
        <v>84</v>
      </c>
      <c r="F42" t="s">
        <v>85</v>
      </c>
      <c r="G42" t="s">
        <v>110</v>
      </c>
      <c r="T42" t="s">
        <v>87</v>
      </c>
      <c r="U42">
        <v>10</v>
      </c>
      <c r="V42" t="s">
        <v>158</v>
      </c>
      <c r="AA42" t="s">
        <v>94</v>
      </c>
      <c r="AB42" t="s">
        <v>324</v>
      </c>
      <c r="AC42" cm="1">
        <f t="array" ref="AC42">VLOOKUP(INDEX(_xlfn.TEXTSPLIT(D42, "_"), 1), Sheet2!A$1:B$3, 2, FALSE)</f>
        <v>1</v>
      </c>
    </row>
    <row r="43" spans="1:29" x14ac:dyDescent="0.45">
      <c r="A43" s="1">
        <v>45674.778090277781</v>
      </c>
      <c r="B43" t="s">
        <v>24</v>
      </c>
      <c r="C43">
        <v>112</v>
      </c>
      <c r="D43" t="s">
        <v>159</v>
      </c>
      <c r="E43" t="s">
        <v>84</v>
      </c>
      <c r="F43" t="s">
        <v>85</v>
      </c>
      <c r="G43" t="s">
        <v>160</v>
      </c>
      <c r="T43" t="s">
        <v>87</v>
      </c>
      <c r="V43" t="s">
        <v>161</v>
      </c>
      <c r="AA43" t="s">
        <v>97</v>
      </c>
      <c r="AB43" t="s">
        <v>324</v>
      </c>
      <c r="AC43" cm="1">
        <f t="array" ref="AC43">VLOOKUP(INDEX(_xlfn.TEXTSPLIT(D43, "_"), 1), Sheet2!A$1:B$3, 2, FALSE)</f>
        <v>1</v>
      </c>
    </row>
    <row r="44" spans="1:29" x14ac:dyDescent="0.45">
      <c r="A44" s="1">
        <v>45674.689050925925</v>
      </c>
      <c r="B44" t="s">
        <v>24</v>
      </c>
      <c r="C44">
        <v>113</v>
      </c>
      <c r="D44" t="s">
        <v>162</v>
      </c>
      <c r="E44" t="s">
        <v>114</v>
      </c>
      <c r="F44" t="s">
        <v>85</v>
      </c>
      <c r="G44" t="s">
        <v>163</v>
      </c>
      <c r="T44" t="s">
        <v>87</v>
      </c>
      <c r="V44" t="s">
        <v>164</v>
      </c>
      <c r="AA44" t="s">
        <v>101</v>
      </c>
      <c r="AB44" t="s">
        <v>324</v>
      </c>
      <c r="AC44" cm="1">
        <f t="array" ref="AC44">VLOOKUP(INDEX(_xlfn.TEXTSPLIT(D44, "_"), 1), Sheet2!A$1:B$3, 2, FALSE)</f>
        <v>2</v>
      </c>
    </row>
    <row r="45" spans="1:29" x14ac:dyDescent="0.45">
      <c r="A45" s="1">
        <v>45674.690081018518</v>
      </c>
      <c r="B45" t="s">
        <v>24</v>
      </c>
      <c r="C45">
        <v>114</v>
      </c>
      <c r="D45" t="s">
        <v>165</v>
      </c>
      <c r="E45" t="s">
        <v>114</v>
      </c>
      <c r="F45" t="s">
        <v>85</v>
      </c>
      <c r="G45" t="s">
        <v>163</v>
      </c>
      <c r="T45" t="s">
        <v>87</v>
      </c>
      <c r="U45" t="s">
        <v>166</v>
      </c>
      <c r="V45" t="s">
        <v>167</v>
      </c>
      <c r="AA45" t="s">
        <v>128</v>
      </c>
      <c r="AB45" t="s">
        <v>324</v>
      </c>
      <c r="AC45" cm="1">
        <f t="array" ref="AC45">VLOOKUP(INDEX(_xlfn.TEXTSPLIT(D45, "_"), 1), Sheet2!A$1:B$3, 2, FALSE)</f>
        <v>2</v>
      </c>
    </row>
    <row r="46" spans="1:29" x14ac:dyDescent="0.45">
      <c r="A46" s="1">
        <v>45674.689918981479</v>
      </c>
      <c r="B46" t="s">
        <v>24</v>
      </c>
      <c r="C46">
        <v>115</v>
      </c>
      <c r="D46" t="s">
        <v>168</v>
      </c>
      <c r="E46" t="s">
        <v>169</v>
      </c>
      <c r="F46" t="s">
        <v>85</v>
      </c>
      <c r="G46" t="s">
        <v>170</v>
      </c>
      <c r="T46" t="s">
        <v>87</v>
      </c>
      <c r="V46" t="s">
        <v>171</v>
      </c>
      <c r="AB46" t="s">
        <v>324</v>
      </c>
      <c r="AC46" cm="1">
        <f t="array" ref="AC46">VLOOKUP(INDEX(_xlfn.TEXTSPLIT(D46, "_"), 1), Sheet2!A$1:B$3, 2, FALSE)</f>
        <v>2</v>
      </c>
    </row>
    <row r="47" spans="1:29" x14ac:dyDescent="0.45">
      <c r="A47" s="1">
        <v>45674.697662037041</v>
      </c>
      <c r="B47" t="s">
        <v>24</v>
      </c>
      <c r="C47">
        <v>116</v>
      </c>
      <c r="D47" t="s">
        <v>172</v>
      </c>
      <c r="E47" t="s">
        <v>169</v>
      </c>
      <c r="F47" t="s">
        <v>85</v>
      </c>
      <c r="G47" t="s">
        <v>170</v>
      </c>
      <c r="T47" t="s">
        <v>87</v>
      </c>
      <c r="V47" t="s">
        <v>173</v>
      </c>
      <c r="AB47" t="s">
        <v>324</v>
      </c>
      <c r="AC47" cm="1">
        <f t="array" ref="AC47">VLOOKUP(INDEX(_xlfn.TEXTSPLIT(D47, "_"), 1), Sheet2!A$1:B$3, 2, FALSE)</f>
        <v>2</v>
      </c>
    </row>
    <row r="48" spans="1:29" x14ac:dyDescent="0.45">
      <c r="A48" s="1">
        <v>45674.698425925926</v>
      </c>
      <c r="B48" t="s">
        <v>24</v>
      </c>
      <c r="C48">
        <v>117</v>
      </c>
      <c r="D48" t="s">
        <v>174</v>
      </c>
      <c r="E48" t="s">
        <v>169</v>
      </c>
      <c r="F48" t="s">
        <v>85</v>
      </c>
      <c r="G48" t="s">
        <v>170</v>
      </c>
      <c r="T48" t="s">
        <v>87</v>
      </c>
      <c r="V48" t="s">
        <v>175</v>
      </c>
      <c r="AB48" t="s">
        <v>324</v>
      </c>
      <c r="AC48" cm="1">
        <f t="array" ref="AC48">VLOOKUP(INDEX(_xlfn.TEXTSPLIT(D48, "_"), 1), Sheet2!A$1:B$3, 2, FALSE)</f>
        <v>2</v>
      </c>
    </row>
    <row r="49" spans="1:29" x14ac:dyDescent="0.45">
      <c r="A49" s="1">
        <v>45674.690381944441</v>
      </c>
      <c r="B49" t="s">
        <v>24</v>
      </c>
      <c r="C49">
        <v>118</v>
      </c>
      <c r="D49" t="s">
        <v>176</v>
      </c>
      <c r="E49" t="s">
        <v>169</v>
      </c>
      <c r="F49" t="s">
        <v>85</v>
      </c>
      <c r="G49" t="s">
        <v>170</v>
      </c>
      <c r="T49" t="s">
        <v>87</v>
      </c>
      <c r="V49" t="s">
        <v>177</v>
      </c>
      <c r="AB49" t="s">
        <v>324</v>
      </c>
      <c r="AC49" cm="1">
        <f t="array" ref="AC49">VLOOKUP(INDEX(_xlfn.TEXTSPLIT(D49, "_"), 1), Sheet2!A$1:B$3, 2, FALSE)</f>
        <v>2</v>
      </c>
    </row>
    <row r="50" spans="1:29" x14ac:dyDescent="0.45">
      <c r="A50" s="1">
        <v>45674.68922453704</v>
      </c>
      <c r="B50" t="s">
        <v>24</v>
      </c>
      <c r="C50">
        <v>119</v>
      </c>
      <c r="D50" t="s">
        <v>178</v>
      </c>
      <c r="E50" t="s">
        <v>169</v>
      </c>
      <c r="F50" t="s">
        <v>85</v>
      </c>
      <c r="G50" t="s">
        <v>170</v>
      </c>
      <c r="T50" t="s">
        <v>87</v>
      </c>
      <c r="U50" t="s">
        <v>179</v>
      </c>
      <c r="V50" t="s">
        <v>180</v>
      </c>
      <c r="AB50" t="s">
        <v>324</v>
      </c>
      <c r="AC50" cm="1">
        <f t="array" ref="AC50">VLOOKUP(INDEX(_xlfn.TEXTSPLIT(D50, "_"), 1), Sheet2!A$1:B$3, 2, FALSE)</f>
        <v>2</v>
      </c>
    </row>
    <row r="51" spans="1:29" x14ac:dyDescent="0.45">
      <c r="A51" s="1">
        <v>45674.780613425923</v>
      </c>
      <c r="B51" t="s">
        <v>24</v>
      </c>
      <c r="C51">
        <v>120</v>
      </c>
      <c r="D51" t="s">
        <v>181</v>
      </c>
      <c r="E51" t="s">
        <v>84</v>
      </c>
      <c r="F51" t="s">
        <v>85</v>
      </c>
      <c r="G51" t="s">
        <v>182</v>
      </c>
      <c r="T51" t="s">
        <v>87</v>
      </c>
      <c r="U51">
        <v>10</v>
      </c>
      <c r="V51" t="s">
        <v>183</v>
      </c>
      <c r="AA51" t="s">
        <v>112</v>
      </c>
      <c r="AB51" t="s">
        <v>324</v>
      </c>
      <c r="AC51" cm="1">
        <f t="array" ref="AC51">VLOOKUP(INDEX(_xlfn.TEXTSPLIT(D51, "_"), 1), Sheet2!A$1:B$3, 2, FALSE)</f>
        <v>2</v>
      </c>
    </row>
    <row r="52" spans="1:29" x14ac:dyDescent="0.45">
      <c r="A52" s="1">
        <v>45674.698946759258</v>
      </c>
      <c r="B52" t="s">
        <v>24</v>
      </c>
      <c r="C52">
        <v>121</v>
      </c>
      <c r="D52" t="s">
        <v>184</v>
      </c>
      <c r="E52" t="s">
        <v>169</v>
      </c>
      <c r="F52" t="s">
        <v>85</v>
      </c>
      <c r="G52" t="s">
        <v>170</v>
      </c>
      <c r="T52" t="s">
        <v>87</v>
      </c>
      <c r="V52" t="s">
        <v>185</v>
      </c>
      <c r="AB52" t="s">
        <v>324</v>
      </c>
      <c r="AC52" cm="1">
        <f t="array" ref="AC52">VLOOKUP(INDEX(_xlfn.TEXTSPLIT(D52, "_"), 1), Sheet2!A$1:B$3, 2, FALSE)</f>
        <v>2</v>
      </c>
    </row>
    <row r="53" spans="1:29" x14ac:dyDescent="0.45">
      <c r="A53" s="1">
        <v>45674.781354166669</v>
      </c>
      <c r="B53" t="s">
        <v>24</v>
      </c>
      <c r="C53">
        <v>122</v>
      </c>
      <c r="D53" t="s">
        <v>186</v>
      </c>
      <c r="E53" t="s">
        <v>84</v>
      </c>
      <c r="F53" t="s">
        <v>85</v>
      </c>
      <c r="G53" t="s">
        <v>182</v>
      </c>
      <c r="T53" t="s">
        <v>87</v>
      </c>
      <c r="U53">
        <v>10</v>
      </c>
      <c r="V53" t="s">
        <v>187</v>
      </c>
      <c r="AA53" t="s">
        <v>112</v>
      </c>
      <c r="AB53" t="s">
        <v>324</v>
      </c>
      <c r="AC53" cm="1">
        <f t="array" ref="AC53">VLOOKUP(INDEX(_xlfn.TEXTSPLIT(D53, "_"), 1), Sheet2!A$1:B$3, 2, FALSE)</f>
        <v>2</v>
      </c>
    </row>
    <row r="54" spans="1:29" x14ac:dyDescent="0.45">
      <c r="A54" s="1">
        <v>45674.784328703703</v>
      </c>
      <c r="B54" t="s">
        <v>24</v>
      </c>
      <c r="C54">
        <v>123</v>
      </c>
      <c r="D54" t="s">
        <v>188</v>
      </c>
      <c r="E54" t="s">
        <v>84</v>
      </c>
      <c r="F54" t="s">
        <v>85</v>
      </c>
      <c r="G54" t="s">
        <v>182</v>
      </c>
      <c r="T54" t="s">
        <v>87</v>
      </c>
      <c r="U54">
        <v>10</v>
      </c>
      <c r="V54" t="s">
        <v>189</v>
      </c>
      <c r="AA54" t="s">
        <v>112</v>
      </c>
      <c r="AB54" t="s">
        <v>324</v>
      </c>
      <c r="AC54" cm="1">
        <f t="array" ref="AC54">VLOOKUP(INDEX(_xlfn.TEXTSPLIT(D54, "_"), 1), Sheet2!A$1:B$3, 2, FALSE)</f>
        <v>2</v>
      </c>
    </row>
    <row r="55" spans="1:29" x14ac:dyDescent="0.45">
      <c r="A55" s="1">
        <v>45674.782025462962</v>
      </c>
      <c r="B55" t="s">
        <v>24</v>
      </c>
      <c r="C55">
        <v>124</v>
      </c>
      <c r="D55" t="s">
        <v>190</v>
      </c>
      <c r="E55" t="s">
        <v>84</v>
      </c>
      <c r="F55" t="s">
        <v>85</v>
      </c>
      <c r="G55" t="s">
        <v>182</v>
      </c>
      <c r="T55" t="s">
        <v>87</v>
      </c>
      <c r="U55">
        <v>10</v>
      </c>
      <c r="V55" t="s">
        <v>191</v>
      </c>
      <c r="AA55" t="s">
        <v>112</v>
      </c>
      <c r="AB55" t="s">
        <v>324</v>
      </c>
      <c r="AC55" cm="1">
        <f t="array" ref="AC55">VLOOKUP(INDEX(_xlfn.TEXTSPLIT(D55, "_"), 1), Sheet2!A$1:B$3, 2, FALSE)</f>
        <v>2</v>
      </c>
    </row>
    <row r="56" spans="1:29" x14ac:dyDescent="0.45">
      <c r="A56" s="1">
        <v>45674.782696759263</v>
      </c>
      <c r="B56" t="s">
        <v>24</v>
      </c>
      <c r="C56">
        <v>125</v>
      </c>
      <c r="D56" t="s">
        <v>192</v>
      </c>
      <c r="E56" t="s">
        <v>84</v>
      </c>
      <c r="F56" t="s">
        <v>85</v>
      </c>
      <c r="G56" t="s">
        <v>182</v>
      </c>
      <c r="T56" t="s">
        <v>87</v>
      </c>
      <c r="U56">
        <v>10</v>
      </c>
      <c r="V56" t="s">
        <v>193</v>
      </c>
      <c r="AA56" t="s">
        <v>112</v>
      </c>
      <c r="AB56" t="s">
        <v>324</v>
      </c>
      <c r="AC56" cm="1">
        <f t="array" ref="AC56">VLOOKUP(INDEX(_xlfn.TEXTSPLIT(D56, "_"), 1), Sheet2!A$1:B$3, 2, FALSE)</f>
        <v>2</v>
      </c>
    </row>
    <row r="57" spans="1:29" x14ac:dyDescent="0.45">
      <c r="A57" s="1">
        <v>45674.784826388888</v>
      </c>
      <c r="B57" t="s">
        <v>24</v>
      </c>
      <c r="C57">
        <v>126</v>
      </c>
      <c r="D57" t="s">
        <v>194</v>
      </c>
      <c r="E57" t="s">
        <v>84</v>
      </c>
      <c r="F57" t="s">
        <v>85</v>
      </c>
      <c r="G57" t="s">
        <v>182</v>
      </c>
      <c r="T57" t="s">
        <v>87</v>
      </c>
      <c r="U57">
        <v>10</v>
      </c>
      <c r="V57" t="s">
        <v>195</v>
      </c>
      <c r="AA57" t="s">
        <v>97</v>
      </c>
      <c r="AB57" t="s">
        <v>324</v>
      </c>
      <c r="AC57" cm="1">
        <f t="array" ref="AC57">VLOOKUP(INDEX(_xlfn.TEXTSPLIT(D57, "_"), 1), Sheet2!A$1:B$3, 2, FALSE)</f>
        <v>2</v>
      </c>
    </row>
    <row r="58" spans="1:29" x14ac:dyDescent="0.45">
      <c r="A58" s="1">
        <v>45674.783321759256</v>
      </c>
      <c r="B58" t="s">
        <v>24</v>
      </c>
      <c r="C58">
        <v>127</v>
      </c>
      <c r="D58" t="s">
        <v>196</v>
      </c>
      <c r="E58" t="s">
        <v>84</v>
      </c>
      <c r="F58" t="s">
        <v>85</v>
      </c>
      <c r="G58" t="s">
        <v>182</v>
      </c>
      <c r="T58" t="s">
        <v>87</v>
      </c>
      <c r="U58">
        <v>10</v>
      </c>
      <c r="V58" t="s">
        <v>197</v>
      </c>
      <c r="AA58" t="s">
        <v>112</v>
      </c>
      <c r="AB58" t="s">
        <v>324</v>
      </c>
      <c r="AC58" cm="1">
        <f t="array" ref="AC58">VLOOKUP(INDEX(_xlfn.TEXTSPLIT(D58, "_"), 1), Sheet2!A$1:B$3, 2, FALSE)</f>
        <v>2</v>
      </c>
    </row>
    <row r="59" spans="1:29" x14ac:dyDescent="0.45">
      <c r="A59" s="1">
        <v>45674.783761574072</v>
      </c>
      <c r="B59" t="s">
        <v>24</v>
      </c>
      <c r="C59">
        <v>128</v>
      </c>
      <c r="D59" t="s">
        <v>198</v>
      </c>
      <c r="E59" t="s">
        <v>84</v>
      </c>
      <c r="F59" t="s">
        <v>85</v>
      </c>
      <c r="G59" t="s">
        <v>182</v>
      </c>
      <c r="T59" t="s">
        <v>87</v>
      </c>
      <c r="U59">
        <v>10</v>
      </c>
      <c r="V59" t="s">
        <v>199</v>
      </c>
      <c r="AA59" t="s">
        <v>97</v>
      </c>
      <c r="AB59" t="s">
        <v>324</v>
      </c>
      <c r="AC59" cm="1">
        <f t="array" ref="AC59">VLOOKUP(INDEX(_xlfn.TEXTSPLIT(D59, "_"), 1), Sheet2!A$1:B$3, 2, FALSE)</f>
        <v>2</v>
      </c>
    </row>
    <row r="60" spans="1:29" x14ac:dyDescent="0.45">
      <c r="A60" s="1">
        <v>45674.785752314812</v>
      </c>
      <c r="B60" t="s">
        <v>24</v>
      </c>
      <c r="C60">
        <v>129</v>
      </c>
      <c r="D60" t="s">
        <v>200</v>
      </c>
      <c r="E60" t="s">
        <v>84</v>
      </c>
      <c r="F60" t="s">
        <v>85</v>
      </c>
      <c r="G60" t="s">
        <v>182</v>
      </c>
      <c r="T60" t="s">
        <v>87</v>
      </c>
      <c r="U60">
        <v>10</v>
      </c>
      <c r="V60" t="s">
        <v>201</v>
      </c>
      <c r="AA60" t="s">
        <v>112</v>
      </c>
      <c r="AB60" t="s">
        <v>324</v>
      </c>
      <c r="AC60" cm="1">
        <f t="array" ref="AC60">VLOOKUP(INDEX(_xlfn.TEXTSPLIT(D60, "_"), 1), Sheet2!A$1:B$3, 2, FALSE)</f>
        <v>2</v>
      </c>
    </row>
    <row r="61" spans="1:29" x14ac:dyDescent="0.45">
      <c r="A61" s="1">
        <v>45674.787245370368</v>
      </c>
      <c r="B61" t="s">
        <v>24</v>
      </c>
      <c r="C61">
        <v>130</v>
      </c>
      <c r="D61" t="s">
        <v>202</v>
      </c>
      <c r="E61" t="s">
        <v>84</v>
      </c>
      <c r="F61" t="s">
        <v>85</v>
      </c>
      <c r="G61" t="s">
        <v>182</v>
      </c>
      <c r="T61" t="s">
        <v>87</v>
      </c>
      <c r="V61" t="s">
        <v>203</v>
      </c>
      <c r="AA61" t="s">
        <v>97</v>
      </c>
      <c r="AB61" t="s">
        <v>324</v>
      </c>
      <c r="AC61" cm="1">
        <f t="array" ref="AC61">VLOOKUP(INDEX(_xlfn.TEXTSPLIT(D61, "_"), 1), Sheet2!A$1:B$3, 2, FALSE)</f>
        <v>2</v>
      </c>
    </row>
    <row r="62" spans="1:29" x14ac:dyDescent="0.45">
      <c r="A62" s="1">
        <v>45674.786354166667</v>
      </c>
      <c r="B62" t="s">
        <v>24</v>
      </c>
      <c r="C62">
        <v>131</v>
      </c>
      <c r="D62" t="s">
        <v>204</v>
      </c>
      <c r="E62" t="s">
        <v>84</v>
      </c>
      <c r="F62" t="s">
        <v>85</v>
      </c>
      <c r="G62" t="s">
        <v>182</v>
      </c>
      <c r="T62" t="s">
        <v>87</v>
      </c>
      <c r="U62">
        <v>10</v>
      </c>
      <c r="V62" t="s">
        <v>205</v>
      </c>
      <c r="AA62" t="s">
        <v>206</v>
      </c>
      <c r="AB62" t="s">
        <v>324</v>
      </c>
      <c r="AC62" cm="1">
        <f t="array" ref="AC62">VLOOKUP(INDEX(_xlfn.TEXTSPLIT(D62, "_"), 1), Sheet2!A$1:B$3, 2, FALSE)</f>
        <v>2</v>
      </c>
    </row>
    <row r="63" spans="1:29" x14ac:dyDescent="0.45">
      <c r="A63" s="1">
        <v>45674.755335648151</v>
      </c>
      <c r="B63" t="s">
        <v>24</v>
      </c>
      <c r="C63">
        <v>145</v>
      </c>
      <c r="D63" t="s">
        <v>207</v>
      </c>
      <c r="E63" t="s">
        <v>114</v>
      </c>
      <c r="F63" t="s">
        <v>85</v>
      </c>
      <c r="G63" t="s">
        <v>208</v>
      </c>
      <c r="T63" t="s">
        <v>87</v>
      </c>
      <c r="V63" t="s">
        <v>209</v>
      </c>
      <c r="AA63" t="s">
        <v>97</v>
      </c>
      <c r="AB63" t="s">
        <v>324</v>
      </c>
      <c r="AC63" cm="1">
        <f t="array" ref="AC63">VLOOKUP(INDEX(_xlfn.TEXTSPLIT(D63, "_"), 1), Sheet2!A$1:B$3, 2, FALSE)</f>
        <v>3</v>
      </c>
    </row>
    <row r="64" spans="1:29" x14ac:dyDescent="0.45">
      <c r="A64" s="1">
        <v>45674.793275462966</v>
      </c>
      <c r="B64" t="s">
        <v>24</v>
      </c>
      <c r="C64">
        <v>154</v>
      </c>
      <c r="D64" t="s">
        <v>210</v>
      </c>
      <c r="E64" t="s">
        <v>84</v>
      </c>
      <c r="F64" t="s">
        <v>85</v>
      </c>
      <c r="G64" t="s">
        <v>211</v>
      </c>
      <c r="T64" t="s">
        <v>87</v>
      </c>
      <c r="V64" t="s">
        <v>212</v>
      </c>
      <c r="AA64" t="s">
        <v>112</v>
      </c>
      <c r="AB64" t="s">
        <v>324</v>
      </c>
      <c r="AC64" cm="1">
        <f t="array" ref="AC64">VLOOKUP(INDEX(_xlfn.TEXTSPLIT(D64, "_"), 1), Sheet2!A$1:B$3, 2, FALSE)</f>
        <v>3</v>
      </c>
    </row>
    <row r="65" spans="1:29" x14ac:dyDescent="0.45">
      <c r="A65" s="1">
        <v>45674.757523148146</v>
      </c>
      <c r="B65" t="s">
        <v>24</v>
      </c>
      <c r="C65">
        <v>158</v>
      </c>
      <c r="D65" t="s">
        <v>213</v>
      </c>
      <c r="E65" t="s">
        <v>84</v>
      </c>
      <c r="F65" t="s">
        <v>85</v>
      </c>
      <c r="G65" t="s">
        <v>214</v>
      </c>
      <c r="T65" t="s">
        <v>87</v>
      </c>
      <c r="U65">
        <v>100</v>
      </c>
      <c r="V65" t="s">
        <v>215</v>
      </c>
      <c r="AA65" t="s">
        <v>112</v>
      </c>
      <c r="AB65" t="s">
        <v>324</v>
      </c>
      <c r="AC65" cm="1">
        <f t="array" ref="AC65">VLOOKUP(INDEX(_xlfn.TEXTSPLIT(D65, "_"), 1), Sheet2!A$1:B$3, 2, FALSE)</f>
        <v>3</v>
      </c>
    </row>
    <row r="66" spans="1:29" x14ac:dyDescent="0.45">
      <c r="A66" s="1">
        <v>45674.759432870371</v>
      </c>
      <c r="B66" t="s">
        <v>24</v>
      </c>
      <c r="C66">
        <v>167</v>
      </c>
      <c r="D66" t="s">
        <v>216</v>
      </c>
      <c r="E66" t="s">
        <v>84</v>
      </c>
      <c r="F66" t="s">
        <v>85</v>
      </c>
      <c r="G66" t="s">
        <v>214</v>
      </c>
      <c r="T66" t="s">
        <v>87</v>
      </c>
      <c r="U66">
        <v>50</v>
      </c>
      <c r="V66" t="s">
        <v>217</v>
      </c>
      <c r="AA66" t="s">
        <v>218</v>
      </c>
      <c r="AB66" t="s">
        <v>324</v>
      </c>
      <c r="AC66" cm="1">
        <f t="array" ref="AC66">VLOOKUP(INDEX(_xlfn.TEXTSPLIT(D66, "_"), 1), Sheet2!A$1:B$3, 2, FALSE)</f>
        <v>3</v>
      </c>
    </row>
    <row r="67" spans="1:29" x14ac:dyDescent="0.45">
      <c r="A67" s="1">
        <v>45674.793749999997</v>
      </c>
      <c r="B67" t="s">
        <v>24</v>
      </c>
      <c r="C67">
        <v>172</v>
      </c>
      <c r="D67" t="s">
        <v>219</v>
      </c>
      <c r="E67" t="s">
        <v>84</v>
      </c>
      <c r="F67" t="s">
        <v>85</v>
      </c>
      <c r="G67" t="s">
        <v>211</v>
      </c>
      <c r="T67" t="s">
        <v>87</v>
      </c>
      <c r="V67" t="s">
        <v>220</v>
      </c>
      <c r="AA67" t="s">
        <v>101</v>
      </c>
      <c r="AB67" t="s">
        <v>324</v>
      </c>
      <c r="AC67" cm="1">
        <f t="array" ref="AC67">VLOOKUP(INDEX(_xlfn.TEXTSPLIT(D67, "_"), 1), Sheet2!A$1:B$3, 2, FALSE)</f>
        <v>3</v>
      </c>
    </row>
    <row r="68" spans="1:29" x14ac:dyDescent="0.45">
      <c r="A68" s="1">
        <v>45674.758981481478</v>
      </c>
      <c r="B68" t="s">
        <v>24</v>
      </c>
      <c r="C68">
        <v>176</v>
      </c>
      <c r="D68" t="s">
        <v>221</v>
      </c>
      <c r="E68" t="s">
        <v>114</v>
      </c>
      <c r="F68" t="s">
        <v>85</v>
      </c>
      <c r="G68" t="s">
        <v>208</v>
      </c>
      <c r="T68" t="s">
        <v>87</v>
      </c>
      <c r="V68" t="s">
        <v>222</v>
      </c>
      <c r="AA68" t="s">
        <v>97</v>
      </c>
      <c r="AB68" t="s">
        <v>324</v>
      </c>
      <c r="AC68" cm="1">
        <f t="array" ref="AC68">VLOOKUP(INDEX(_xlfn.TEXTSPLIT(D68, "_"), 1), Sheet2!A$1:B$3, 2, FALSE)</f>
        <v>3</v>
      </c>
    </row>
    <row r="69" spans="1:29" x14ac:dyDescent="0.45">
      <c r="A69" s="1">
        <v>45674.756122685183</v>
      </c>
      <c r="B69" t="s">
        <v>24</v>
      </c>
      <c r="C69">
        <v>180</v>
      </c>
      <c r="D69" t="s">
        <v>223</v>
      </c>
      <c r="E69" t="s">
        <v>84</v>
      </c>
      <c r="F69" t="s">
        <v>85</v>
      </c>
      <c r="G69" t="s">
        <v>214</v>
      </c>
      <c r="T69" t="s">
        <v>87</v>
      </c>
      <c r="U69">
        <v>100</v>
      </c>
      <c r="V69" t="s">
        <v>224</v>
      </c>
      <c r="AA69" t="s">
        <v>94</v>
      </c>
      <c r="AB69" t="s">
        <v>324</v>
      </c>
      <c r="AC69" cm="1">
        <f t="array" ref="AC69">VLOOKUP(INDEX(_xlfn.TEXTSPLIT(D69, "_"), 1), Sheet2!A$1:B$3, 2, FALSE)</f>
        <v>3</v>
      </c>
    </row>
    <row r="70" spans="1:29" x14ac:dyDescent="0.45">
      <c r="A70" s="1">
        <v>45674.753912037035</v>
      </c>
      <c r="B70" t="s">
        <v>24</v>
      </c>
      <c r="C70">
        <v>202</v>
      </c>
      <c r="D70" t="s">
        <v>225</v>
      </c>
      <c r="E70" t="s">
        <v>169</v>
      </c>
      <c r="F70" t="s">
        <v>226</v>
      </c>
      <c r="G70" t="s">
        <v>227</v>
      </c>
      <c r="O70" t="s">
        <v>228</v>
      </c>
      <c r="AA70" t="s">
        <v>229</v>
      </c>
      <c r="AB70" t="s">
        <v>323</v>
      </c>
      <c r="AC70" cm="1">
        <f t="array" ref="AC70">VLOOKUP(INDEX(_xlfn.TEXTSPLIT(D70, "_"), 1), Sheet2!A$1:B$3, 2, FALSE)</f>
        <v>3</v>
      </c>
    </row>
    <row r="71" spans="1:29" x14ac:dyDescent="0.45">
      <c r="A71" s="1">
        <v>45674.753391203703</v>
      </c>
      <c r="B71" t="s">
        <v>24</v>
      </c>
      <c r="C71">
        <v>203</v>
      </c>
      <c r="D71" t="s">
        <v>230</v>
      </c>
      <c r="E71" t="s">
        <v>169</v>
      </c>
      <c r="F71" t="s">
        <v>231</v>
      </c>
      <c r="G71" t="s">
        <v>227</v>
      </c>
      <c r="O71" t="s">
        <v>232</v>
      </c>
      <c r="AA71" t="s">
        <v>229</v>
      </c>
      <c r="AB71" t="s">
        <v>324</v>
      </c>
      <c r="AC71" cm="1">
        <f t="array" ref="AC71">VLOOKUP(INDEX(_xlfn.TEXTSPLIT(D71, "_"), 1), Sheet2!A$1:B$3, 2, FALSE)</f>
        <v>3</v>
      </c>
    </row>
    <row r="72" spans="1:29" x14ac:dyDescent="0.45">
      <c r="A72" s="1">
        <v>45674.742048611108</v>
      </c>
      <c r="B72" t="s">
        <v>24</v>
      </c>
      <c r="C72">
        <v>204</v>
      </c>
      <c r="D72" t="s">
        <v>233</v>
      </c>
      <c r="E72" t="s">
        <v>169</v>
      </c>
      <c r="F72" t="s">
        <v>229</v>
      </c>
      <c r="G72" t="s">
        <v>234</v>
      </c>
      <c r="W72" t="s">
        <v>235</v>
      </c>
      <c r="Z72" t="s">
        <v>236</v>
      </c>
      <c r="AA72" t="s">
        <v>229</v>
      </c>
      <c r="AB72" t="s">
        <v>323</v>
      </c>
      <c r="AC72" cm="1">
        <f t="array" ref="AC72">VLOOKUP(INDEX(_xlfn.TEXTSPLIT(D72, "_"), 1), Sheet2!A$1:B$3, 2, FALSE)</f>
        <v>3</v>
      </c>
    </row>
    <row r="73" spans="1:29" x14ac:dyDescent="0.45">
      <c r="A73" s="1">
        <v>45674.744062500002</v>
      </c>
      <c r="B73" t="s">
        <v>24</v>
      </c>
      <c r="C73">
        <v>204</v>
      </c>
      <c r="D73" t="s">
        <v>237</v>
      </c>
      <c r="E73" t="s">
        <v>169</v>
      </c>
      <c r="F73" t="s">
        <v>229</v>
      </c>
      <c r="G73" t="s">
        <v>234</v>
      </c>
      <c r="W73" t="s">
        <v>238</v>
      </c>
      <c r="Z73" t="s">
        <v>239</v>
      </c>
      <c r="AA73" t="s">
        <v>229</v>
      </c>
      <c r="AB73" t="s">
        <v>323</v>
      </c>
      <c r="AC73" cm="1">
        <f t="array" ref="AC73">VLOOKUP(INDEX(_xlfn.TEXTSPLIT(D73, "_"), 1), Sheet2!A$1:B$3, 2, FALSE)</f>
        <v>3</v>
      </c>
    </row>
    <row r="74" spans="1:29" x14ac:dyDescent="0.45">
      <c r="A74" s="1">
        <v>45674.718101851853</v>
      </c>
      <c r="B74" t="s">
        <v>24</v>
      </c>
      <c r="C74">
        <v>208</v>
      </c>
      <c r="D74" t="s">
        <v>240</v>
      </c>
      <c r="E74" t="s">
        <v>26</v>
      </c>
      <c r="F74" t="s">
        <v>229</v>
      </c>
      <c r="G74" t="s">
        <v>241</v>
      </c>
      <c r="W74" t="s">
        <v>242</v>
      </c>
      <c r="X74">
        <v>0</v>
      </c>
      <c r="Y74">
        <v>2</v>
      </c>
      <c r="Z74" t="s">
        <v>243</v>
      </c>
      <c r="AA74" t="s">
        <v>229</v>
      </c>
      <c r="AB74" t="s">
        <v>323</v>
      </c>
      <c r="AC74" cm="1">
        <f t="array" ref="AC74">VLOOKUP(INDEX(_xlfn.TEXTSPLIT(D74, "_"), 1), Sheet2!A$1:B$3, 2, FALSE)</f>
        <v>2</v>
      </c>
    </row>
    <row r="75" spans="1:29" x14ac:dyDescent="0.45">
      <c r="A75" s="1">
        <v>45674.716724537036</v>
      </c>
      <c r="B75" t="s">
        <v>24</v>
      </c>
      <c r="C75">
        <v>209</v>
      </c>
      <c r="D75" t="s">
        <v>244</v>
      </c>
      <c r="E75" t="s">
        <v>26</v>
      </c>
      <c r="F75" t="s">
        <v>229</v>
      </c>
      <c r="G75" t="s">
        <v>241</v>
      </c>
      <c r="W75" t="s">
        <v>242</v>
      </c>
      <c r="X75">
        <v>2</v>
      </c>
      <c r="Y75">
        <v>10</v>
      </c>
      <c r="Z75" t="s">
        <v>243</v>
      </c>
      <c r="AA75" t="s">
        <v>229</v>
      </c>
      <c r="AB75" t="s">
        <v>323</v>
      </c>
      <c r="AC75" cm="1">
        <f t="array" ref="AC75">VLOOKUP(INDEX(_xlfn.TEXTSPLIT(D75, "_"), 1), Sheet2!A$1:B$3, 2, FALSE)</f>
        <v>2</v>
      </c>
    </row>
    <row r="76" spans="1:29" x14ac:dyDescent="0.45">
      <c r="A76" s="1">
        <v>45674.715671296297</v>
      </c>
      <c r="B76" t="s">
        <v>24</v>
      </c>
      <c r="C76">
        <v>210</v>
      </c>
      <c r="D76" t="s">
        <v>245</v>
      </c>
      <c r="E76" t="s">
        <v>26</v>
      </c>
      <c r="F76" t="s">
        <v>229</v>
      </c>
      <c r="G76" t="s">
        <v>241</v>
      </c>
      <c r="W76" t="s">
        <v>242</v>
      </c>
      <c r="X76">
        <v>10</v>
      </c>
      <c r="Y76">
        <v>12</v>
      </c>
      <c r="Z76" t="s">
        <v>243</v>
      </c>
      <c r="AA76" t="s">
        <v>229</v>
      </c>
      <c r="AB76" t="s">
        <v>323</v>
      </c>
      <c r="AC76" cm="1">
        <f t="array" ref="AC76">VLOOKUP(INDEX(_xlfn.TEXTSPLIT(D76, "_"), 1), Sheet2!A$1:B$3, 2, FALSE)</f>
        <v>2</v>
      </c>
    </row>
    <row r="77" spans="1:29" x14ac:dyDescent="0.45">
      <c r="A77" s="1">
        <v>45674.712071759262</v>
      </c>
      <c r="B77" t="s">
        <v>24</v>
      </c>
      <c r="C77">
        <v>211</v>
      </c>
      <c r="D77" t="s">
        <v>246</v>
      </c>
      <c r="E77" t="s">
        <v>26</v>
      </c>
      <c r="F77" t="s">
        <v>229</v>
      </c>
      <c r="G77" t="s">
        <v>247</v>
      </c>
      <c r="W77" t="s">
        <v>248</v>
      </c>
      <c r="X77">
        <v>2</v>
      </c>
      <c r="Y77">
        <v>6</v>
      </c>
      <c r="Z77" t="s">
        <v>249</v>
      </c>
      <c r="AA77" t="s">
        <v>229</v>
      </c>
      <c r="AB77" t="s">
        <v>323</v>
      </c>
      <c r="AC77" cm="1">
        <f t="array" ref="AC77">VLOOKUP(INDEX(_xlfn.TEXTSPLIT(D77, "_"), 1), Sheet2!A$1:B$3, 2, FALSE)</f>
        <v>2</v>
      </c>
    </row>
    <row r="78" spans="1:29" x14ac:dyDescent="0.45">
      <c r="A78" s="1">
        <v>45674.710358796299</v>
      </c>
      <c r="B78" t="s">
        <v>24</v>
      </c>
      <c r="C78">
        <v>212</v>
      </c>
      <c r="D78" t="s">
        <v>250</v>
      </c>
      <c r="E78" t="s">
        <v>26</v>
      </c>
      <c r="F78" t="s">
        <v>229</v>
      </c>
      <c r="G78" t="s">
        <v>251</v>
      </c>
      <c r="W78" t="s">
        <v>252</v>
      </c>
      <c r="X78">
        <v>2</v>
      </c>
      <c r="Y78">
        <v>6</v>
      </c>
      <c r="Z78" t="s">
        <v>253</v>
      </c>
      <c r="AA78" t="s">
        <v>229</v>
      </c>
      <c r="AB78" t="s">
        <v>323</v>
      </c>
      <c r="AC78" cm="1">
        <f t="array" ref="AC78">VLOOKUP(INDEX(_xlfn.TEXTSPLIT(D78, "_"), 1), Sheet2!A$1:B$3, 2, FALSE)</f>
        <v>2</v>
      </c>
    </row>
    <row r="79" spans="1:29" x14ac:dyDescent="0.45">
      <c r="A79" s="1">
        <v>45674.709328703706</v>
      </c>
      <c r="B79" t="s">
        <v>24</v>
      </c>
      <c r="C79">
        <v>213</v>
      </c>
      <c r="D79" t="s">
        <v>254</v>
      </c>
      <c r="E79" t="s">
        <v>26</v>
      </c>
      <c r="F79" t="s">
        <v>229</v>
      </c>
      <c r="G79" t="s">
        <v>251</v>
      </c>
      <c r="W79" t="s">
        <v>255</v>
      </c>
      <c r="X79">
        <v>0</v>
      </c>
      <c r="Y79">
        <v>2</v>
      </c>
      <c r="Z79" t="s">
        <v>243</v>
      </c>
      <c r="AA79" t="s">
        <v>229</v>
      </c>
      <c r="AB79" t="s">
        <v>323</v>
      </c>
      <c r="AC79" cm="1">
        <f t="array" ref="AC79">VLOOKUP(INDEX(_xlfn.TEXTSPLIT(D79, "_"), 1), Sheet2!A$1:B$3, 2, FALSE)</f>
        <v>2</v>
      </c>
    </row>
    <row r="80" spans="1:29" x14ac:dyDescent="0.45">
      <c r="A80" s="1">
        <v>45674.70721064815</v>
      </c>
      <c r="B80" t="s">
        <v>24</v>
      </c>
      <c r="C80">
        <v>214</v>
      </c>
      <c r="D80" t="s">
        <v>256</v>
      </c>
      <c r="E80" t="s">
        <v>26</v>
      </c>
      <c r="F80" t="s">
        <v>229</v>
      </c>
      <c r="G80" t="s">
        <v>251</v>
      </c>
      <c r="W80" t="s">
        <v>257</v>
      </c>
      <c r="X80">
        <v>6</v>
      </c>
      <c r="Y80">
        <v>8</v>
      </c>
      <c r="Z80" t="s">
        <v>243</v>
      </c>
      <c r="AA80" t="s">
        <v>229</v>
      </c>
      <c r="AB80" t="s">
        <v>323</v>
      </c>
      <c r="AC80" cm="1">
        <f t="array" ref="AC80">VLOOKUP(INDEX(_xlfn.TEXTSPLIT(D80, "_"), 1), Sheet2!A$1:B$3, 2, FALSE)</f>
        <v>2</v>
      </c>
    </row>
    <row r="81" spans="1:29" x14ac:dyDescent="0.45">
      <c r="A81" s="1">
        <v>45674.711504629631</v>
      </c>
      <c r="B81" t="s">
        <v>24</v>
      </c>
      <c r="C81">
        <v>215</v>
      </c>
      <c r="D81" t="s">
        <v>258</v>
      </c>
      <c r="E81" t="s">
        <v>169</v>
      </c>
      <c r="F81" t="s">
        <v>259</v>
      </c>
      <c r="G81" t="s">
        <v>163</v>
      </c>
      <c r="O81" t="s">
        <v>260</v>
      </c>
      <c r="AA81" t="s">
        <v>229</v>
      </c>
      <c r="AB81" t="s">
        <v>324</v>
      </c>
      <c r="AC81" cm="1">
        <f t="array" ref="AC81">VLOOKUP(INDEX(_xlfn.TEXTSPLIT(D81, "_"), 1), Sheet2!A$1:B$3, 2, FALSE)</f>
        <v>2</v>
      </c>
    </row>
    <row r="82" spans="1:29" x14ac:dyDescent="0.45">
      <c r="A82" s="1">
        <v>45674.712083333332</v>
      </c>
      <c r="B82" t="s">
        <v>24</v>
      </c>
      <c r="C82">
        <v>216</v>
      </c>
      <c r="D82" t="s">
        <v>261</v>
      </c>
      <c r="E82" t="s">
        <v>169</v>
      </c>
      <c r="F82" t="s">
        <v>226</v>
      </c>
      <c r="G82" t="s">
        <v>163</v>
      </c>
      <c r="O82" t="s">
        <v>260</v>
      </c>
      <c r="AA82" t="s">
        <v>229</v>
      </c>
      <c r="AB82" t="s">
        <v>324</v>
      </c>
      <c r="AC82" cm="1">
        <f t="array" ref="AC82">VLOOKUP(INDEX(_xlfn.TEXTSPLIT(D82, "_"), 1), Sheet2!A$1:B$3, 2, FALSE)</f>
        <v>2</v>
      </c>
    </row>
    <row r="83" spans="1:29" x14ac:dyDescent="0.45">
      <c r="A83" s="1">
        <v>45674.701828703706</v>
      </c>
      <c r="B83" t="s">
        <v>24</v>
      </c>
      <c r="C83">
        <v>217</v>
      </c>
      <c r="D83" t="s">
        <v>262</v>
      </c>
      <c r="E83" t="s">
        <v>26</v>
      </c>
      <c r="F83" t="s">
        <v>229</v>
      </c>
      <c r="G83" t="s">
        <v>247</v>
      </c>
      <c r="W83" t="s">
        <v>248</v>
      </c>
      <c r="X83">
        <v>0</v>
      </c>
      <c r="Y83">
        <v>2</v>
      </c>
      <c r="Z83" t="s">
        <v>263</v>
      </c>
      <c r="AA83" t="s">
        <v>229</v>
      </c>
      <c r="AB83" t="s">
        <v>323</v>
      </c>
      <c r="AC83" cm="1">
        <f t="array" ref="AC83">VLOOKUP(INDEX(_xlfn.TEXTSPLIT(D83, "_"), 1), Sheet2!A$1:B$3, 2, FALSE)</f>
        <v>2</v>
      </c>
    </row>
    <row r="84" spans="1:29" x14ac:dyDescent="0.45">
      <c r="A84" s="1">
        <v>45674.700729166667</v>
      </c>
      <c r="B84" t="s">
        <v>24</v>
      </c>
      <c r="C84">
        <v>218</v>
      </c>
      <c r="D84" t="s">
        <v>264</v>
      </c>
      <c r="E84" t="s">
        <v>26</v>
      </c>
      <c r="F84" t="s">
        <v>229</v>
      </c>
      <c r="G84" t="s">
        <v>247</v>
      </c>
      <c r="W84" t="s">
        <v>265</v>
      </c>
      <c r="X84">
        <v>6</v>
      </c>
      <c r="Y84">
        <v>8</v>
      </c>
      <c r="Z84" t="s">
        <v>263</v>
      </c>
      <c r="AA84" t="s">
        <v>229</v>
      </c>
      <c r="AB84" t="s">
        <v>323</v>
      </c>
      <c r="AC84" cm="1">
        <f t="array" ref="AC84">VLOOKUP(INDEX(_xlfn.TEXTSPLIT(D84, "_"), 1), Sheet2!A$1:B$3, 2, FALSE)</f>
        <v>2</v>
      </c>
    </row>
    <row r="85" spans="1:29" x14ac:dyDescent="0.45">
      <c r="A85" s="1">
        <v>45674.696018518516</v>
      </c>
      <c r="B85" t="s">
        <v>24</v>
      </c>
      <c r="C85">
        <v>219</v>
      </c>
      <c r="D85" t="s">
        <v>266</v>
      </c>
      <c r="E85" t="s">
        <v>114</v>
      </c>
      <c r="F85" t="s">
        <v>267</v>
      </c>
      <c r="G85" t="s">
        <v>163</v>
      </c>
      <c r="L85" t="s">
        <v>268</v>
      </c>
      <c r="M85" t="s">
        <v>269</v>
      </c>
      <c r="N85">
        <v>5</v>
      </c>
      <c r="AA85" t="s">
        <v>270</v>
      </c>
      <c r="AB85" t="s">
        <v>324</v>
      </c>
      <c r="AC85" cm="1">
        <f t="array" ref="AC85">VLOOKUP(INDEX(_xlfn.TEXTSPLIT(D85, "_"), 1), Sheet2!A$1:B$3, 2, FALSE)</f>
        <v>2</v>
      </c>
    </row>
    <row r="86" spans="1:29" x14ac:dyDescent="0.45">
      <c r="A86" s="1">
        <v>45674.608576388891</v>
      </c>
      <c r="B86" t="s">
        <v>24</v>
      </c>
      <c r="C86">
        <v>220</v>
      </c>
      <c r="D86" t="s">
        <v>271</v>
      </c>
      <c r="E86" t="s">
        <v>26</v>
      </c>
      <c r="F86" t="s">
        <v>272</v>
      </c>
      <c r="G86" t="s">
        <v>273</v>
      </c>
      <c r="O86" t="s">
        <v>274</v>
      </c>
      <c r="AA86" t="s">
        <v>27</v>
      </c>
      <c r="AB86" t="s">
        <v>323</v>
      </c>
      <c r="AC86" cm="1">
        <f t="array" ref="AC86">VLOOKUP(INDEX(_xlfn.TEXTSPLIT(D86, "_"), 1), Sheet2!A$1:B$3, 2, FALSE)</f>
        <v>1</v>
      </c>
    </row>
    <row r="87" spans="1:29" x14ac:dyDescent="0.45">
      <c r="A87" s="1">
        <v>45674.651863425926</v>
      </c>
      <c r="B87" t="s">
        <v>24</v>
      </c>
      <c r="C87">
        <v>221</v>
      </c>
      <c r="D87" t="s">
        <v>275</v>
      </c>
      <c r="E87" t="s">
        <v>169</v>
      </c>
      <c r="F87" t="s">
        <v>276</v>
      </c>
      <c r="G87" t="s">
        <v>277</v>
      </c>
      <c r="O87" t="s">
        <v>278</v>
      </c>
      <c r="AA87" t="s">
        <v>101</v>
      </c>
      <c r="AB87" t="s">
        <v>324</v>
      </c>
      <c r="AC87" cm="1">
        <f t="array" ref="AC87">VLOOKUP(INDEX(_xlfn.TEXTSPLIT(D87, "_"), 1), Sheet2!A$1:B$3, 2, FALSE)</f>
        <v>1</v>
      </c>
    </row>
    <row r="88" spans="1:29" x14ac:dyDescent="0.45">
      <c r="A88" s="1">
        <v>45674.606840277775</v>
      </c>
      <c r="B88" t="s">
        <v>24</v>
      </c>
      <c r="C88">
        <v>222</v>
      </c>
      <c r="D88" t="s">
        <v>279</v>
      </c>
      <c r="E88" t="s">
        <v>169</v>
      </c>
      <c r="F88" t="s">
        <v>27</v>
      </c>
      <c r="G88" t="s">
        <v>280</v>
      </c>
      <c r="P88" t="s">
        <v>281</v>
      </c>
      <c r="Q88" t="s">
        <v>272</v>
      </c>
      <c r="R88" t="s">
        <v>31</v>
      </c>
      <c r="S88" t="s">
        <v>282</v>
      </c>
      <c r="AA88" t="s">
        <v>27</v>
      </c>
      <c r="AB88" t="s">
        <v>323</v>
      </c>
      <c r="AC88" cm="1">
        <f t="array" ref="AC88">VLOOKUP(INDEX(_xlfn.TEXTSPLIT(D88, "_"), 1), Sheet2!A$1:B$3, 2, FALSE)</f>
        <v>1</v>
      </c>
    </row>
    <row r="89" spans="1:29" x14ac:dyDescent="0.45">
      <c r="A89" s="1">
        <v>45674.619293981479</v>
      </c>
      <c r="B89" t="s">
        <v>24</v>
      </c>
      <c r="C89">
        <v>223</v>
      </c>
      <c r="D89" t="s">
        <v>283</v>
      </c>
      <c r="E89" t="s">
        <v>26</v>
      </c>
      <c r="F89" t="s">
        <v>229</v>
      </c>
      <c r="G89" t="s">
        <v>284</v>
      </c>
      <c r="W89" t="s">
        <v>285</v>
      </c>
      <c r="X89">
        <v>2</v>
      </c>
      <c r="Y89">
        <v>4</v>
      </c>
      <c r="Z89" t="s">
        <v>286</v>
      </c>
      <c r="AA89" t="s">
        <v>229</v>
      </c>
      <c r="AB89" t="s">
        <v>323</v>
      </c>
      <c r="AC89" cm="1">
        <f t="array" ref="AC89">VLOOKUP(INDEX(_xlfn.TEXTSPLIT(D89, "_"), 1), Sheet2!A$1:B$3, 2, FALSE)</f>
        <v>1</v>
      </c>
    </row>
    <row r="90" spans="1:29" x14ac:dyDescent="0.45">
      <c r="A90" s="1">
        <v>45674.602164351854</v>
      </c>
      <c r="B90" t="s">
        <v>24</v>
      </c>
      <c r="C90">
        <v>224</v>
      </c>
      <c r="D90" t="s">
        <v>287</v>
      </c>
      <c r="E90" t="s">
        <v>169</v>
      </c>
      <c r="F90" t="s">
        <v>27</v>
      </c>
      <c r="G90" t="s">
        <v>288</v>
      </c>
      <c r="P90" t="s">
        <v>289</v>
      </c>
      <c r="Q90" t="s">
        <v>272</v>
      </c>
      <c r="R90" t="s">
        <v>290</v>
      </c>
      <c r="S90" t="s">
        <v>291</v>
      </c>
      <c r="AA90" t="s">
        <v>27</v>
      </c>
      <c r="AB90" t="s">
        <v>323</v>
      </c>
      <c r="AC90" cm="1">
        <f t="array" ref="AC90">VLOOKUP(INDEX(_xlfn.TEXTSPLIT(D90, "_"), 1), Sheet2!A$1:B$3, 2, FALSE)</f>
        <v>1</v>
      </c>
    </row>
    <row r="91" spans="1:29" x14ac:dyDescent="0.45">
      <c r="A91" s="1">
        <v>45674.617673611108</v>
      </c>
      <c r="B91" t="s">
        <v>24</v>
      </c>
      <c r="C91">
        <v>225</v>
      </c>
      <c r="D91" t="s">
        <v>292</v>
      </c>
      <c r="E91" t="s">
        <v>26</v>
      </c>
      <c r="F91" t="s">
        <v>229</v>
      </c>
      <c r="G91" t="s">
        <v>293</v>
      </c>
      <c r="W91" t="s">
        <v>294</v>
      </c>
      <c r="X91">
        <v>12</v>
      </c>
      <c r="Y91">
        <v>14</v>
      </c>
      <c r="Z91" t="s">
        <v>295</v>
      </c>
      <c r="AA91" t="s">
        <v>229</v>
      </c>
      <c r="AB91" t="s">
        <v>323</v>
      </c>
      <c r="AC91" cm="1">
        <f t="array" ref="AC91">VLOOKUP(INDEX(_xlfn.TEXTSPLIT(D91, "_"), 1), Sheet2!A$1:B$3, 2, FALSE)</f>
        <v>1</v>
      </c>
    </row>
    <row r="92" spans="1:29" x14ac:dyDescent="0.45">
      <c r="A92" s="1">
        <v>45674.60392361111</v>
      </c>
      <c r="B92" t="s">
        <v>24</v>
      </c>
      <c r="C92">
        <v>226</v>
      </c>
      <c r="D92" t="s">
        <v>296</v>
      </c>
      <c r="E92" t="s">
        <v>169</v>
      </c>
      <c r="F92" t="s">
        <v>27</v>
      </c>
      <c r="G92" t="s">
        <v>288</v>
      </c>
      <c r="P92" t="s">
        <v>297</v>
      </c>
      <c r="Q92" t="s">
        <v>272</v>
      </c>
      <c r="R92" t="s">
        <v>290</v>
      </c>
      <c r="S92" t="s">
        <v>298</v>
      </c>
      <c r="AA92" t="s">
        <v>27</v>
      </c>
      <c r="AB92" t="s">
        <v>323</v>
      </c>
      <c r="AC92" cm="1">
        <f t="array" ref="AC92">VLOOKUP(INDEX(_xlfn.TEXTSPLIT(D92, "_"), 1), Sheet2!A$1:B$3, 2, FALSE)</f>
        <v>1</v>
      </c>
    </row>
    <row r="93" spans="1:29" x14ac:dyDescent="0.45">
      <c r="A93" s="1">
        <v>45674.65121527778</v>
      </c>
      <c r="B93" t="s">
        <v>24</v>
      </c>
      <c r="C93">
        <v>227</v>
      </c>
      <c r="D93" t="s">
        <v>299</v>
      </c>
      <c r="E93" t="s">
        <v>169</v>
      </c>
      <c r="F93" t="s">
        <v>276</v>
      </c>
      <c r="G93" t="s">
        <v>277</v>
      </c>
      <c r="O93" t="s">
        <v>300</v>
      </c>
      <c r="AA93" t="s">
        <v>218</v>
      </c>
      <c r="AB93" t="s">
        <v>324</v>
      </c>
      <c r="AC93" cm="1">
        <f t="array" ref="AC93">VLOOKUP(INDEX(_xlfn.TEXTSPLIT(D93, "_"), 1), Sheet2!A$1:B$3, 2, FALSE)</f>
        <v>1</v>
      </c>
    </row>
    <row r="94" spans="1:29" x14ac:dyDescent="0.45">
      <c r="A94" s="1">
        <v>45674.70548611111</v>
      </c>
      <c r="B94" t="s">
        <v>24</v>
      </c>
      <c r="C94">
        <v>228</v>
      </c>
      <c r="D94" t="s">
        <v>301</v>
      </c>
      <c r="E94" t="s">
        <v>114</v>
      </c>
      <c r="F94" t="s">
        <v>85</v>
      </c>
      <c r="G94" t="s">
        <v>149</v>
      </c>
      <c r="T94" t="s">
        <v>87</v>
      </c>
      <c r="V94" t="s">
        <v>302</v>
      </c>
      <c r="AA94" t="s">
        <v>156</v>
      </c>
      <c r="AB94" t="s">
        <v>324</v>
      </c>
      <c r="AC94" cm="1">
        <f t="array" ref="AC94">VLOOKUP(INDEX(_xlfn.TEXTSPLIT(D94, "_"), 1), Sheet2!A$1:B$3, 2, FALSE)</f>
        <v>2</v>
      </c>
    </row>
    <row r="95" spans="1:29" x14ac:dyDescent="0.45">
      <c r="A95" s="1">
        <v>45674.654756944445</v>
      </c>
      <c r="B95" t="s">
        <v>24</v>
      </c>
      <c r="C95">
        <v>229</v>
      </c>
      <c r="D95" t="s">
        <v>303</v>
      </c>
      <c r="E95" t="s">
        <v>114</v>
      </c>
      <c r="F95" t="s">
        <v>267</v>
      </c>
      <c r="G95" t="s">
        <v>139</v>
      </c>
      <c r="L95" t="s">
        <v>304</v>
      </c>
      <c r="M95">
        <v>200</v>
      </c>
      <c r="N95">
        <v>30</v>
      </c>
      <c r="AA95" t="s">
        <v>270</v>
      </c>
      <c r="AB95" t="s">
        <v>324</v>
      </c>
      <c r="AC95" cm="1">
        <f t="array" ref="AC95">VLOOKUP(INDEX(_xlfn.TEXTSPLIT(D95, "_"), 1), Sheet2!A$1:B$3, 2, FALSE)</f>
        <v>1</v>
      </c>
    </row>
    <row r="96" spans="1:29" x14ac:dyDescent="0.45">
      <c r="A96" s="1">
        <v>45674.652291666665</v>
      </c>
      <c r="B96" t="s">
        <v>24</v>
      </c>
      <c r="C96">
        <v>230</v>
      </c>
      <c r="D96" t="s">
        <v>305</v>
      </c>
      <c r="E96" t="s">
        <v>169</v>
      </c>
      <c r="F96" t="s">
        <v>276</v>
      </c>
      <c r="G96" t="s">
        <v>277</v>
      </c>
      <c r="O96" t="s">
        <v>306</v>
      </c>
      <c r="AA96" t="s">
        <v>218</v>
      </c>
      <c r="AB96" t="s">
        <v>324</v>
      </c>
      <c r="AC96" cm="1">
        <f t="array" ref="AC96">VLOOKUP(INDEX(_xlfn.TEXTSPLIT(D96, "_"), 1), Sheet2!A$1:B$3, 2, FALSE)</f>
        <v>1</v>
      </c>
    </row>
    <row r="97" spans="1:29" x14ac:dyDescent="0.45">
      <c r="A97" s="1">
        <v>45674.794340277775</v>
      </c>
      <c r="B97" t="s">
        <v>24</v>
      </c>
      <c r="C97">
        <v>232</v>
      </c>
      <c r="D97" t="s">
        <v>307</v>
      </c>
      <c r="E97" t="s">
        <v>84</v>
      </c>
      <c r="F97" t="s">
        <v>85</v>
      </c>
      <c r="G97" t="s">
        <v>211</v>
      </c>
      <c r="T97" t="s">
        <v>87</v>
      </c>
      <c r="U97">
        <v>10</v>
      </c>
      <c r="V97" t="s">
        <v>308</v>
      </c>
      <c r="AA97" t="s">
        <v>101</v>
      </c>
      <c r="AB97" t="s">
        <v>324</v>
      </c>
      <c r="AC97" cm="1">
        <f t="array" ref="AC97">VLOOKUP(INDEX(_xlfn.TEXTSPLIT(D97, "_"), 1), Sheet2!A$1:B$3, 2, FALSE)</f>
        <v>3</v>
      </c>
    </row>
    <row r="98" spans="1:29" x14ac:dyDescent="0.45">
      <c r="A98" s="1">
        <v>45674.660567129627</v>
      </c>
      <c r="B98" t="s">
        <v>24</v>
      </c>
      <c r="C98">
        <v>233</v>
      </c>
      <c r="D98" t="s">
        <v>309</v>
      </c>
      <c r="E98" t="s">
        <v>114</v>
      </c>
      <c r="F98" t="s">
        <v>310</v>
      </c>
      <c r="G98" t="s">
        <v>311</v>
      </c>
      <c r="I98" t="s">
        <v>312</v>
      </c>
      <c r="J98" t="s">
        <v>313</v>
      </c>
      <c r="AA98" t="s">
        <v>314</v>
      </c>
      <c r="AB98" t="s">
        <v>324</v>
      </c>
      <c r="AC98" cm="1">
        <f t="array" ref="AC98">VLOOKUP(INDEX(_xlfn.TEXTSPLIT(D98, "_"), 1), Sheet2!A$1:B$3, 2, FALSE)</f>
        <v>1</v>
      </c>
    </row>
    <row r="99" spans="1:29" x14ac:dyDescent="0.45">
      <c r="A99" s="1">
        <v>45674.6950462963</v>
      </c>
      <c r="B99" t="s">
        <v>24</v>
      </c>
      <c r="C99">
        <v>234</v>
      </c>
      <c r="D99" t="s">
        <v>315</v>
      </c>
      <c r="E99" t="s">
        <v>114</v>
      </c>
      <c r="F99" t="s">
        <v>310</v>
      </c>
      <c r="G99" t="s">
        <v>163</v>
      </c>
      <c r="I99" t="s">
        <v>316</v>
      </c>
      <c r="J99" t="s">
        <v>317</v>
      </c>
      <c r="AA99" t="s">
        <v>314</v>
      </c>
      <c r="AB99" t="s">
        <v>324</v>
      </c>
      <c r="AC99" cm="1">
        <f t="array" ref="AC99">VLOOKUP(INDEX(_xlfn.TEXTSPLIT(D99, "_"), 1), Sheet2!A$1:B$3, 2, FALSE)</f>
        <v>1</v>
      </c>
    </row>
    <row r="100" spans="1:29" x14ac:dyDescent="0.45">
      <c r="A100" s="1">
        <v>45674.764155092591</v>
      </c>
      <c r="B100" t="s">
        <v>24</v>
      </c>
      <c r="C100">
        <v>238</v>
      </c>
      <c r="D100" t="s">
        <v>318</v>
      </c>
      <c r="E100" t="s">
        <v>114</v>
      </c>
      <c r="F100" t="s">
        <v>229</v>
      </c>
      <c r="G100" t="s">
        <v>208</v>
      </c>
      <c r="W100" t="s">
        <v>319</v>
      </c>
      <c r="AA100" t="s">
        <v>229</v>
      </c>
      <c r="AB100" t="s">
        <v>324</v>
      </c>
      <c r="AC100" cm="1">
        <f t="array" ref="AC100">VLOOKUP(INDEX(_xlfn.TEXTSPLIT(D100, "_"), 1), Sheet2!A$1:B$3, 2, FALSE)</f>
        <v>3</v>
      </c>
    </row>
    <row r="101" spans="1:29" x14ac:dyDescent="0.45">
      <c r="A101" s="1">
        <v>45674.765138888892</v>
      </c>
      <c r="B101" t="s">
        <v>24</v>
      </c>
      <c r="C101">
        <v>238</v>
      </c>
      <c r="D101" t="s">
        <v>320</v>
      </c>
      <c r="E101" t="s">
        <v>114</v>
      </c>
      <c r="F101" t="s">
        <v>229</v>
      </c>
      <c r="G101" t="s">
        <v>208</v>
      </c>
      <c r="W101" t="s">
        <v>321</v>
      </c>
      <c r="AA101" t="s">
        <v>229</v>
      </c>
      <c r="AB101" t="s">
        <v>324</v>
      </c>
      <c r="AC101" cm="1">
        <f t="array" ref="AC101">VLOOKUP(INDEX(_xlfn.TEXTSPLIT(D101, "_"), 1), Sheet2!A$1:B$3, 2, FALSE)</f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93706-055A-4FDF-8386-464DEC88551C}">
  <dimension ref="A1:B3"/>
  <sheetViews>
    <sheetView workbookViewId="0">
      <selection activeCell="A4" sqref="A4"/>
    </sheetView>
  </sheetViews>
  <sheetFormatPr defaultRowHeight="14.25" x14ac:dyDescent="0.45"/>
  <sheetData>
    <row r="1" spans="1:2" x14ac:dyDescent="0.45">
      <c r="A1" t="s">
        <v>327</v>
      </c>
      <c r="B1">
        <v>1</v>
      </c>
    </row>
    <row r="2" spans="1:2" x14ac:dyDescent="0.45">
      <c r="A2" t="s">
        <v>326</v>
      </c>
      <c r="B2">
        <v>2</v>
      </c>
    </row>
    <row r="3" spans="1:2" x14ac:dyDescent="0.45">
      <c r="A3" t="s">
        <v>328</v>
      </c>
      <c r="B3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5FEB1EE2AE574695EF54A1B090EDAA" ma:contentTypeVersion="13" ma:contentTypeDescription="Create a new document." ma:contentTypeScope="" ma:versionID="2f0cbd6a4854d63c76b6132dabbfb0d9">
  <xsd:schema xmlns:xsd="http://www.w3.org/2001/XMLSchema" xmlns:xs="http://www.w3.org/2001/XMLSchema" xmlns:p="http://schemas.microsoft.com/office/2006/metadata/properties" xmlns:ns2="6e5248d3-5da7-40b8-acf6-14f091174f36" xmlns:ns3="759bb1ac-d344-417f-9775-c2152cd957cd" targetNamespace="http://schemas.microsoft.com/office/2006/metadata/properties" ma:root="true" ma:fieldsID="779a6eec4d421ffe2ac706fdf9a225ca" ns2:_="" ns3:_="">
    <xsd:import namespace="6e5248d3-5da7-40b8-acf6-14f091174f36"/>
    <xsd:import namespace="759bb1ac-d344-417f-9775-c2152cd957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5248d3-5da7-40b8-acf6-14f091174f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3de6858-8a92-4ea2-93bf-f9910da23f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9bb1ac-d344-417f-9775-c2152cd957c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94102929-1d63-42c2-a9f7-04645e73040e}" ma:internalName="TaxCatchAll" ma:showField="CatchAllData" ma:web="759bb1ac-d344-417f-9775-c2152cd957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e5248d3-5da7-40b8-acf6-14f091174f36">
      <Terms xmlns="http://schemas.microsoft.com/office/infopath/2007/PartnerControls"/>
    </lcf76f155ced4ddcb4097134ff3c332f>
    <TaxCatchAll xmlns="759bb1ac-d344-417f-9775-c2152cd957cd" xsi:nil="true"/>
  </documentManagement>
</p:properties>
</file>

<file path=customXml/itemProps1.xml><?xml version="1.0" encoding="utf-8"?>
<ds:datastoreItem xmlns:ds="http://schemas.openxmlformats.org/officeDocument/2006/customXml" ds:itemID="{40538BD7-97F5-4DB2-903C-1ECD1C9583E1}"/>
</file>

<file path=customXml/itemProps2.xml><?xml version="1.0" encoding="utf-8"?>
<ds:datastoreItem xmlns:ds="http://schemas.openxmlformats.org/officeDocument/2006/customXml" ds:itemID="{930E167D-F54D-4B20-A717-3499F6A27757}"/>
</file>

<file path=customXml/itemProps3.xml><?xml version="1.0" encoding="utf-8"?>
<ds:datastoreItem xmlns:ds="http://schemas.openxmlformats.org/officeDocument/2006/customXml" ds:itemID="{47056983-1BDB-4EA0-9D07-E212B55F66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Liber</dc:creator>
  <cp:lastModifiedBy>Julian Liber</cp:lastModifiedBy>
  <dcterms:created xsi:type="dcterms:W3CDTF">2026-05-26T15:10:06Z</dcterms:created>
  <dcterms:modified xsi:type="dcterms:W3CDTF">2026-05-26T15:18:17Z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ContentTypeId">
    <vt:lpwstr>0x010100E45FEB1EE2AE574695EF54A1B090EDAA</vt:lpwstr>
  </property>
</Properties>
</file>